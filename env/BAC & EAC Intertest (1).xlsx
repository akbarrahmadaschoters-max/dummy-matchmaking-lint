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 &amp; EAC Intertest" sheetId="1" r:id="rId5"/>
  </sheets>
  <definedNames/>
  <calcPr/>
</workbook>
</file>

<file path=xl/sharedStrings.xml><?xml version="1.0" encoding="utf-8"?>
<sst xmlns="http://schemas.openxmlformats.org/spreadsheetml/2006/main" count="1764" uniqueCount="1004">
  <si>
    <t>No</t>
  </si>
  <si>
    <t>Academy Ruangguru</t>
  </si>
  <si>
    <t>Name</t>
  </si>
  <si>
    <t>Address</t>
  </si>
  <si>
    <t>Unique Name</t>
  </si>
  <si>
    <t>First Name</t>
  </si>
  <si>
    <t>End Name</t>
  </si>
  <si>
    <t>Tutor</t>
  </si>
  <si>
    <t>Latitude</t>
  </si>
  <si>
    <t>Longitude</t>
  </si>
  <si>
    <t>Brain Academy</t>
  </si>
  <si>
    <t>Bekasi - Cibubur</t>
  </si>
  <si>
    <t>Jl. Alternatif Cibubur No.35A, RT.001/RW.010, Jatikarya, Kec. Jatisampurna, Kota Bks, Jawa Barat 17435</t>
  </si>
  <si>
    <t>Tangerang - Citymall</t>
  </si>
  <si>
    <t>Ruko Business Park Tangcity Blok A.16, RT.005/RW.005, Babakan, Kec. Tangerang, Kota Tangerang, Banten 15118</t>
  </si>
  <si>
    <t>Bogor - Permata</t>
  </si>
  <si>
    <t>Jl. Sholeh Iskandar No.3a-5, RT.01/RW.04, Cibadak, Tanah Sareal, Kota Bogor, Jawa Barat 16166</t>
  </si>
  <si>
    <t>Permata Bogor</t>
  </si>
  <si>
    <t>Anwar Fajar Rizki 
Zein Rizky Santoso</t>
  </si>
  <si>
    <t>Cimahi - Cihanjuang</t>
  </si>
  <si>
    <t>Jl. Cihanjuang Komplek Duta regency Blok A nomor 12-13, Cibabat, Kec. Cimahi Utara, Kota Cimahi, Jawa Barat 40513</t>
  </si>
  <si>
    <t>Nahrul Mubarok</t>
  </si>
  <si>
    <t>Karawang - Tuparev</t>
  </si>
  <si>
    <t>Jl Tuparev No. 395, Nagasari, Kec. Karawang Barat, Karawang, Jawa Barat 41314</t>
  </si>
  <si>
    <t>Depok - Sukmajaya</t>
  </si>
  <si>
    <t>Jl. Proklamasi No.14-15, Mekar Jaya, Kec. Sukmajaya, Kota Depok, Jawa Barat 16411</t>
  </si>
  <si>
    <t>Sukmajaya Depok</t>
  </si>
  <si>
    <t>mariam ulpah</t>
  </si>
  <si>
    <t>Bogor - Pajajaran</t>
  </si>
  <si>
    <t>Jl. Raya Pajajaran No.87C, RT.04/RW.03, Bantarjati, Kec. Bogor Utara, Kota Bogor, Jawa Barat 16153</t>
  </si>
  <si>
    <t>Pajajaran Bogor</t>
  </si>
  <si>
    <t xml:space="preserve">Novicha Sofriani
Anwar Fajar &amp; Tiffany </t>
  </si>
  <si>
    <t>Jakarta Timur - Pondok Gede</t>
  </si>
  <si>
    <t>Jl. Raya Pd. Gede No.30, RT.4/RW.8, Lubang Buaya, Kec. Cipayung, Kota Jakarta Timur, Daerah Khusus Ibukota Jakarta 13810</t>
  </si>
  <si>
    <t>Jakarta Barat - Kalideres</t>
  </si>
  <si>
    <t>Jl. Utan Jati No.19 Blk LB5, RT.8/RW.12, Kalideres, Kec. Kalideres, Kota Jakarta Barat, Daerah Khusus Ibukota Jakarta 11840</t>
  </si>
  <si>
    <t>Jakarta Selatan - Pasar Minggu</t>
  </si>
  <si>
    <t>Jl. Raya Pasar Minggu No.72 M, RT.12/RW.1, Pejaten Timur, Ps. Minggu, Kota Jakarta Selatan, Daerah Khusus Ibukota Jakarta 12740</t>
  </si>
  <si>
    <t>Arif Rahman Budihanifa
Daniel Napitupulu
Zaidan Ramadhana Riesna
Zein Rizky Santoso</t>
  </si>
  <si>
    <t>Jakarta Selatan - Kebayoran Baru</t>
  </si>
  <si>
    <t>4, Jl. Kebayoran Baru No.7, RT.4/RW.7, Gunung, Kec. Kby. Baru, Kota Jakarta Selatan, Daerah Khusus Ibukota Jakarta 12120</t>
  </si>
  <si>
    <t>- (Mulai Online dulu)
Azzahra Novtri Ramadhanty
Azzahra Novtry
Dwi Purwanto
Masano Priyahutama
Novicha Sofriani</t>
  </si>
  <si>
    <t>Bekasi - Harapan Indah</t>
  </si>
  <si>
    <t>Ruko Sentra Niaga, Jl. Boulevard Hijau Raya No.3, RT.006/RW.009, Pejuang, Kec. Medan Satria, Kota Bks, Jawa Barat 17131</t>
  </si>
  <si>
    <t>Bekasi - Tambun</t>
  </si>
  <si>
    <t>Jl. Sultan Hasanudin No.263-265, Tambun, Kec. Tambun Sel., Kabupaten Bekasi, Jawa Barat 17510</t>
  </si>
  <si>
    <t>Cibinong - Mayor Oking</t>
  </si>
  <si>
    <t>Jl. Raya Mayor Oking Jaya Atmaja No.122, Cirimekar, Kec. Cibinong, Kabupaten Bogor, Jawa Barat 16917</t>
  </si>
  <si>
    <t>Denpasar - Mahendradatta</t>
  </si>
  <si>
    <t>Jl. Mahendradatta No. A4 - A6, Desa Padangsambian, Kec. Denpasar Barat, Kota Denpasar 80119</t>
  </si>
  <si>
    <t>Klaten - Merbabu</t>
  </si>
  <si>
    <t>Jl. Merbabu No.2, Pondok, Klaten, Kec. Klaten Tengah, Kabupaten Klaten, Jawa Tengah 57411</t>
  </si>
  <si>
    <t>Jember - Sumbersari</t>
  </si>
  <si>
    <t>Jl. Jawa 21 A-B Kelurahan Sumbersari, Kec. Sumbersari, Kabupaten Jember, Jawa Timur 68121</t>
  </si>
  <si>
    <t>Tasikmalaya - Tentara Pelajar</t>
  </si>
  <si>
    <t>Jl. Tentara Pelajar no 129, Empangsari, Kec Tawang , Kab. Tasikmalaya, Jawa Barat 46113</t>
  </si>
  <si>
    <t>Purwokerto - Kombas</t>
  </si>
  <si>
    <t>Jl. Jendral Suprapto, Cigrobak, Purwokerto Lor, Kec. Purwokerto Tim., Kabupaten Banyumas, Jawa Tengah 53114</t>
  </si>
  <si>
    <t>Semarang - Banyumanik</t>
  </si>
  <si>
    <t>Ruko Taman Setiabudi, Jl. Sukun Raya Depan Gerbang Perumahan Setiabudi No.11 no 10, Srondol Wetan, Kec. Banyumanik, Kota Semarang, Jawa Tengah 50264</t>
  </si>
  <si>
    <t>Magelang - Mertoyudan</t>
  </si>
  <si>
    <t>Ruko Nusantara, Jl. Magelang - Purworejo No.6 Blok R4, Glagah, Banjarnegoro, Kec. Mertoyudan, Kabupaten Magelang, Jawa Tengah 56172</t>
  </si>
  <si>
    <t>Cirebon - CSB Mall</t>
  </si>
  <si>
    <t>Ruko CSB - Komp. Office Park, Jl. DR. Cipto Mangunkusumo No.26, Pekiringan, Kec. Kesambi, Kota Cirebon, Jawa Barat 45131</t>
  </si>
  <si>
    <t>Sidoarjo - Pondok Jati</t>
  </si>
  <si>
    <t>Jl Pondok Jati Blok B No. 1, Kelurahan Jati, Kecamatan Sidoarjo,Kabupaten Sidoarjo, Jawa Timur 61252</t>
  </si>
  <si>
    <t>Pondok Jati Sidoarjo</t>
  </si>
  <si>
    <t>Kediri - Hasanudin</t>
  </si>
  <si>
    <t>Ruko Hasanudin Bisnis Centre, Jl. Hasanudin No.21 blok E, Dandangan, Kec. Kota, Kabupaten Kediri, Jawa Timur 64129</t>
  </si>
  <si>
    <t>Makassar - Hertasning</t>
  </si>
  <si>
    <t>Jl. Hertasning Bar. No.71, Bonto Makkio, Kec. Rappocini, Kota Makassar, Sulawesi Selatan 90222</t>
  </si>
  <si>
    <t>Prabumulih - Padat Karya</t>
  </si>
  <si>
    <t>Jl. Padat Karya No.333, Gn. Ibul, Kec. Prabumulih Tim., Kota Prabumulih, Sumatera Selatan 31146</t>
  </si>
  <si>
    <t>Dumai - Jenderal Sudirman</t>
  </si>
  <si>
    <t>Jl. Jendral Sudirman. 391. Kel. Dumai Timur, Dumai Kota, Kec. Dumai Kota, Kota Dumai, Riau</t>
  </si>
  <si>
    <t>Padang - Tarandam</t>
  </si>
  <si>
    <t>Jl. Proklamasi No.48, Alang Laweh, Kec. Padang Sel., Kota Padang, Sumatera Barat 25133</t>
  </si>
  <si>
    <t>Palopo - Andi Kambo</t>
  </si>
  <si>
    <t>Jalan Andi Kambo (ex.Merdeka) depan Hotel Value - Ruko No. 6 dan No. 7, Kelurahan Surutanga, Kecamatan Wara Timur, Kota Palopo , Kode Pos 91911</t>
  </si>
  <si>
    <t>Kendari - Abdullah Silondae</t>
  </si>
  <si>
    <t>Jl. Drs. H. Abdullah Silondae no. 1 . RT. 001/001, Korumba, Kec. Mandonga, Kota Kendari, Sulawesi Tenggara 93111</t>
  </si>
  <si>
    <t>Jambi - Thehok</t>
  </si>
  <si>
    <t>Jl. Jend. Sudirman, Tambak Sari (Thehok), Kec. Jambi Sel., Kota Jambi, Jambi 36124</t>
  </si>
  <si>
    <t>Bengkulu - S. Parman</t>
  </si>
  <si>
    <t>Jl. S. Parman No 54 B-C, RT.13/RW.04, Penurunan, Kec. Ratu Samban, Kota Bengkulu, Bengkulu 38223</t>
  </si>
  <si>
    <t>Medan - Yos Sudarso</t>
  </si>
  <si>
    <t>Jl. Yos Sudarso No.12 GHI, RW. Lingk 11, Silalas, Kec. Medan Bar., Kota Medan, Sumatera Utara 2011</t>
  </si>
  <si>
    <t>Yos Sudarso Medan</t>
  </si>
  <si>
    <t>Medan - Letda Sujono</t>
  </si>
  <si>
    <t>Jl. Letda Sujono No.232-233, Bantan Tim., Kec. Medan Tembung, Kota Medan, Sumatera Utara 20223</t>
  </si>
  <si>
    <t>Bukittinggi - Jambu Air</t>
  </si>
  <si>
    <t>Jl. Jambu Air No. 82-83, Taluak Ampek Suku, Kec. Banuhampu, Kabupaten Agam, Sumatera Barat 26181</t>
  </si>
  <si>
    <t>Bekasi - Jatiasih</t>
  </si>
  <si>
    <t>Jl. Raya Jatiasih RT 009 RW 03. Kavling No 4-5. Jatirasa. Jatiasih. Kota Bekasi 17423</t>
  </si>
  <si>
    <t>Jakarta Barat - Kemanggisan</t>
  </si>
  <si>
    <t>Jl. Kemanggisan Raya No.42, RT.5/RW.9, Kemanggisan, Kec. Palmerah, Kota Jakarta Barat, Daerah Khusus Ibukota Jakarta 11480</t>
  </si>
  <si>
    <t>Cintya Kusuma Mahadhika
Maryo Khowijaya</t>
  </si>
  <si>
    <t>Jakarta Selatan - Fatmawati</t>
  </si>
  <si>
    <t>Jl. Fatmawati Raya No.24, Cilandak, 12430</t>
  </si>
  <si>
    <t>Harso Adjie Brotosukmono
Masano Priya Hutama
Siti Amalia Firdza Saefudin</t>
  </si>
  <si>
    <t>Jakarta Timur - Rawamangun</t>
  </si>
  <si>
    <t>Jl Paus No 10E &amp; 10F. Rawamangun. Pulo Gadung. Jakarta Timur. DKI Jakarta 13220</t>
  </si>
  <si>
    <t>Safira Destalenta
Fachreza Aulia Trinanda</t>
  </si>
  <si>
    <t>Jakarta Timur - Duren Sawit</t>
  </si>
  <si>
    <t>Jl. Raden Inten Il No.66, RW.7, Duren Sawit, Kec. Duren Sawit. Kota Jakarta Timur. Daerah Khusus Ibukota Jakarta 13440</t>
  </si>
  <si>
    <t>Farras Rayhan
Zaidan Ramadhana Riesna
Maryo Khowijaya</t>
  </si>
  <si>
    <t>Tangerang Selatan - Golden Madrid</t>
  </si>
  <si>
    <t>Komplek ruko Golden Madrid 1 No. A-06, Rawa Buntu, Serpong, Tangerang Selatan, Banten 15411</t>
  </si>
  <si>
    <t>Bekasi - Summarecon</t>
  </si>
  <si>
    <t>Jl. Bulevar Selatan Blok UA No. 29, RT.004/RW.011, Marga Mulya, Kec. Bekasi Utara, Kota Bks, Jawa Barat 17143</t>
  </si>
  <si>
    <t>Hefty Clarissa Wilyalodia
Safira Destalenta
Jeremi Kristiadi
Mayranda Amin
Zalfa Nurafirst Ardita Sari</t>
  </si>
  <si>
    <t>Bogor - Sawojajar</t>
  </si>
  <si>
    <t>Jl. Sawojajar No.21, Pabaton, Kecamatan Bogor Tengah, Kota Bogor, Jawa Barat 16121</t>
  </si>
  <si>
    <t>Agra Dhanurwedha Sakti
Moh. Alex Maghfur
Nur Shabrina
Brazil Vergas</t>
  </si>
  <si>
    <t>Depok - Pancoran Mas</t>
  </si>
  <si>
    <t>Jl Nusantara Raya 155. Depok Jaya. Pancoran Mas, Kota Depok 16432</t>
  </si>
  <si>
    <t>Cibinong - Karadenan</t>
  </si>
  <si>
    <t>Jl Karadenan No 38. Sukahati. Cibinong. Bogor. Jawa Barat 16913</t>
  </si>
  <si>
    <t>Serang - Kebon Jahe</t>
  </si>
  <si>
    <t>Ruko Cristal Kebon Jahe, Jln. Raya Serang Pandeglang KM 1 Link Kebon Jahe RT 004 RW 014 Kelurahan Cipare, Kebon Jahe, Kec. Serang, Kota Serang, Banten 42117</t>
  </si>
  <si>
    <t>Bandung - Buahbatu</t>
  </si>
  <si>
    <t>Jl. Buah Batu no 50, Burangrang, Kec Lengkong Kota Bandung. Jawa Barat 40262</t>
  </si>
  <si>
    <t>Buah Batu</t>
  </si>
  <si>
    <t>Aditya Rizki Purnama
Ervien Noviyanti
Ramandini Eka Saputri
Tri Zakia Audia Malika
Nahrul Mubarok</t>
  </si>
  <si>
    <t>Bandung - Pajajaran</t>
  </si>
  <si>
    <t>Jl. Abdul Rahman Saleh No. 50, Kec. Cicendo, Bandung, 40174</t>
  </si>
  <si>
    <t>Padjajaran Bandung</t>
  </si>
  <si>
    <t>Siti Abyad Khadijah Ghozali</t>
  </si>
  <si>
    <t>Yogyakarta - Wirobrajan</t>
  </si>
  <si>
    <t>Jl. HOS Cokroaminoto No. 77. Pakuncen. Wirobraian. D.I. Yogyakarta 55253</t>
  </si>
  <si>
    <t>Fatik Redy Hanif
Nissi Esli</t>
  </si>
  <si>
    <t>Semarang - Pandanaran</t>
  </si>
  <si>
    <t>Jl. Pandanaran No.99A, Mugassari. Kec. Semarang Sel.. Kota Semarang. Jawa Tengah 50249</t>
  </si>
  <si>
    <t>Bagus Arya Saputra</t>
  </si>
  <si>
    <t>Solo - Gajahmada</t>
  </si>
  <si>
    <t>Jl. Gajahmada No.123B, Punggawan, Kec. Banjarsari, Kota Surakarta, Jawa Tengah 57132</t>
  </si>
  <si>
    <t>Solo Gajahmada</t>
  </si>
  <si>
    <t>Surabaya - Kusuma Bangsa</t>
  </si>
  <si>
    <t>Jl. Kusuma Bangsa No.74. Ketabang. Kec. Genteng. Kota SBY. Jawa Timur 60272</t>
  </si>
  <si>
    <t>Alexander Ryan Hartanto
Himmatus Sholihah
Siti Aisyah
Oka Shinta Sekar Kirana
Alexander Ryan
Abror Isa Mustakim</t>
  </si>
  <si>
    <t>Surabaya - Jemursari</t>
  </si>
  <si>
    <t>Jl. Raya Jemursari No.15, Wonocolo, Jawa Timur, 60239</t>
  </si>
  <si>
    <t>Malang - Klojen</t>
  </si>
  <si>
    <t>Jl. Bandung No.14. Penanggungan, Kec. Klojen. Kota Malang, Jawa Timur 65111</t>
  </si>
  <si>
    <t>Rachmat Galuh Septiyadhi 
Agra Dhanurwedha Sakti
Bagas Nadiansah
Grace Syamar
Moh. Alex Maghfur
Wilda Aulia</t>
  </si>
  <si>
    <t>Denpasar - Melati</t>
  </si>
  <si>
    <t>Jl. Melati No.67, Dangin Puri. Kec. Denpasar Tim.. Kota Denpasar, Bali 80233</t>
  </si>
  <si>
    <t>Makassar - Cendrawasih</t>
  </si>
  <si>
    <t>Jl Cendrawasih No. 12, Kel. Kunjungmae, Kec. Mariso, Kota Makassar Kode Pos 90125</t>
  </si>
  <si>
    <t>Makassar - Perintis</t>
  </si>
  <si>
    <t>Jl Perintis KM. 9 No. 57 A, Kel. Tamalanrea Jaya, Kec. Tamalanrea, Kota Makassar</t>
  </si>
  <si>
    <t>Medan - S. Parman</t>
  </si>
  <si>
    <t>Komplek Crown Center, Jl. S. Parman No.18-20, Petisah Hulu, Medan Petisah, Medan City, North Sumatra 20152</t>
  </si>
  <si>
    <t xml:space="preserve">S. Parman </t>
  </si>
  <si>
    <t>Meyla Dwi</t>
  </si>
  <si>
    <t>Palembang - Bukit Lama</t>
  </si>
  <si>
    <t>Jalan Srijaya Negara No. 27 D-E RT.35 RW.11 Bukit Lama, Kelurahan demang Lebar, Kecamatan Ilir Barat I Kota Palembang, Sumatera Selatan 30139</t>
  </si>
  <si>
    <t>Palembang - Basuki Rahmat</t>
  </si>
  <si>
    <t>Jl. Jend. Basuki Rachmat No.56 A-B, Ario Kemuning, Kec. Kemuning, Kota Palembang, Sumatera Selatan 30151</t>
  </si>
  <si>
    <t>Padang - S. Parman</t>
  </si>
  <si>
    <t>Jl. S. Parman No.145, Ulak Karang Selatan Kota Padang. Sumatera Barat 25134</t>
  </si>
  <si>
    <t>Banjarmasin - Gatot Subroto</t>
  </si>
  <si>
    <t>Jl. Gatot Subroto No.17, Kebun Bunga, Kota Banjarmasin, Kalimantan Selatan 70237</t>
  </si>
  <si>
    <t>Manado - Wenang Selatan</t>
  </si>
  <si>
    <t>Jl. Sam Ratulangi No.88, Kec. Wenang, 95111</t>
  </si>
  <si>
    <t>Pontianak - MT Haryono</t>
  </si>
  <si>
    <t>Jalan MT Haryono No.27, Akcaya, Kecamatan Pontianak Selatan, Kota Pontianak, Kalimantan Barat 78113</t>
  </si>
  <si>
    <t>Banda Aceh - Teuku Nyak Arief</t>
  </si>
  <si>
    <t>Jl. Teuku Nyak Arief No.1-2, Desa Lamgugob, Kecamatan Syiah Kuala, Provinsi Aceh, 23115</t>
  </si>
  <si>
    <t>Pekanbaru - Mustika</t>
  </si>
  <si>
    <t>Jl. Mustika No.45. Sumahilang. Kec. Pekanbaru Kota. Kota Pekanbaru. Riau 28156</t>
  </si>
  <si>
    <t>Pekanbaru - Soekarno Hatta</t>
  </si>
  <si>
    <t>Jl. Soekarno Hatta, no.31-32, kel. Labuh Baru Barat, Kec. Payung Sekaki, Kota Pekanbaru, Riau. 28292</t>
  </si>
  <si>
    <t>Bandar Lampung - Sumur Batu</t>
  </si>
  <si>
    <t>Jl. Diponegoro No.129, Sumur Batu, Kec. Teluk. Betung Utara, 35212</t>
  </si>
  <si>
    <t>Pematangsiantar - Sutomo</t>
  </si>
  <si>
    <t>Jl. Sutomo NO 8 K-LProklamasi, Kec. Siantar Barat, Kota Pematang Siantar, Sumatera Utara 21144</t>
  </si>
  <si>
    <t>Balikpapan - Sungai Ampal</t>
  </si>
  <si>
    <t>Jl. Sungai Ampal No.114 Kecamatan Balikpapan Tengah, Kelurahan Sumber Rejo, Kota Balikpapan, Provinsi Kalimantan Timur, 76114</t>
  </si>
  <si>
    <t>Tangerang - Citra Raya</t>
  </si>
  <si>
    <t>Ruko green sevila Blok V.01 Nomor 255-257, Ciakar, Kec. Panongan, Kabupaten Tangerang, Banten 15711</t>
  </si>
  <si>
    <t>Madiun - Sutomo</t>
  </si>
  <si>
    <t>Jl. Dr. Sutomo No.9, Madiun Lor, Kec. Manguharjo, Kota Madiun, Jawa Timur 63122</t>
  </si>
  <si>
    <t>Bekasi - Galaxy</t>
  </si>
  <si>
    <t>Jl. Pulo Ribung 1-6, RT.001/RW.019, Jaka Setia, Kec. Bekasi Sel., Kota Bks, Jawa Barat 17147</t>
  </si>
  <si>
    <t>Zalfa Nurafirst Ardita Sari</t>
  </si>
  <si>
    <t>Sumedang - Prabu Geusan Ulun</t>
  </si>
  <si>
    <t>Jl. Prabu Geusan Ulun No.111, Regol Wetan, Kec. Sumedang Sel., Kabupaten Sumedang, Jawa Barat 45311</t>
  </si>
  <si>
    <t>Mojokerto - Jayanegara</t>
  </si>
  <si>
    <t>Jl. Jayanegara, Kel. Banjaragung, Kec. Puri, Kabupaten Mojokerto, Jawa Timur 61363</t>
  </si>
  <si>
    <t>Manado - Sario</t>
  </si>
  <si>
    <t>Jl. R.W. Mongisidi 19D. Kecamatan Sario Tumpaan Kecamatan Sario Kota Manado. Propinsi Sulawesi Utara. 95114</t>
  </si>
  <si>
    <t>Jakarta Barat - Kebon Jeruk</t>
  </si>
  <si>
    <t>Jl. Lapangan Bola No.6, RT.7/RW.1, Kb. Jeruk, Kec. Kb. Jeruk, Kota Jakarta Barat, Daerah Khusus Ibukota Jakarta 11530</t>
  </si>
  <si>
    <t>Aulia Zahra
Maryo Khowijaya</t>
  </si>
  <si>
    <t>Jakarta Utara - Sunter</t>
  </si>
  <si>
    <t>Jl. Danau Sunter Utara blok D1 no 9C, Kelurahan Sunter, Kecamatan Tanjung Priok. Jakarta Utara 14350</t>
  </si>
  <si>
    <t>Jambi - Sipin</t>
  </si>
  <si>
    <t>Jl. Kapten Pattimura no. 47 rt. 01 Kec. Kota Baru, Kota Jambi, Jambi 36361</t>
  </si>
  <si>
    <t>Toraja Utara - Poros Bolu</t>
  </si>
  <si>
    <t>Jl. Poros Bolu - Rantepao (Samping SPBU Pasar Bolu), Tallunglipu Matalo, Tallunglipu, Kabupaten Toraja Utara, Sulawesi Selatan 91832, Indonesia</t>
  </si>
  <si>
    <t>Bogor - Kota Wisata</t>
  </si>
  <si>
    <t>Ruko Madison SHC2/19 Kota Wisata Cibubur, kec Gunung Putri, Kab Bogor, Jawa Barat 16967</t>
  </si>
  <si>
    <t>- (student hold dan ganti tutor)
Daniel Napitupulu
Dominique Samantha Suniadji</t>
  </si>
  <si>
    <t>Mataram - Pendidikan</t>
  </si>
  <si>
    <t>Jl. Pendidikan No.45, Dasan Agung Baru, Kec. Selaparang, Kota Mataram, Nusa Tenggara Bar. 83126</t>
  </si>
  <si>
    <t>Samarinda - Pahlawan</t>
  </si>
  <si>
    <t>Jl. Pahlawan No. 10 D&amp;E depan SMK 1 Samarinda. Kelurahan Dadimulya, Kec. Samarinda Ulu, 75242</t>
  </si>
  <si>
    <t>Solo - Adi Sucipto</t>
  </si>
  <si>
    <t>Jl. Adi Sucipto No.120, Jajar, Kec. Laweyan, Kota Surakarta, Jawa Tengah 57144</t>
  </si>
  <si>
    <t>Bogor - Metland Cileungsi</t>
  </si>
  <si>
    <t>Jl. Kota Taman Metropolitan no. 17D, RT. 004/RW.001, Kelurahan Limusnunggal, Kecamatan Cileungsi, Kabupaten Bogor, Jawa Barat 16820</t>
  </si>
  <si>
    <t>Karawang - Cikampek</t>
  </si>
  <si>
    <t>Jl. Ir. Haji Juanda no.88, Kelurahan Cikampek Timur, Kecamatan Cikampek, Kota Karawang, Jawa Barat 41373</t>
  </si>
  <si>
    <t>Jayapura - Padang Bulan</t>
  </si>
  <si>
    <t>Ruko Warna Warni no. 9, Jl. Raya Sentani - Padang Bulan, Kampung Waena, Kelurahan Kota Baru Distrik Abepura, Kecamatan Heram, Kota Jayapura 99351</t>
  </si>
  <si>
    <t>Surabaya - Ngagel</t>
  </si>
  <si>
    <t>Jl. Ngagel Jaya 21B, RT 005/RW 001, Kelurahan Pucang Sewu, Kecamatan Gubeng, Kota Surabaya, Jawa Timur 60283</t>
  </si>
  <si>
    <t>Ngagel Surabaya</t>
  </si>
  <si>
    <t>Tasikmalaya - Singaparna</t>
  </si>
  <si>
    <t>Jl. Doser, Cipakat, Kec. Singaparna, Kabupaten Tasikmalaya, Jawa Barat 46417</t>
  </si>
  <si>
    <t>Gresik - Usman Sadar</t>
  </si>
  <si>
    <t>Jl. Usman Sadar No. 147, Ngipik, Sukorame, Kec. Gresik, Kabupaten Gresik, Jawa Timur. 61116</t>
  </si>
  <si>
    <t>Jakarta Timur - Ciracas</t>
  </si>
  <si>
    <t>Komplek Ruko 64, Jl. Raya Lap. Tembak - Cibubur No.64, RT.3/RW.2, Cibubur, Kec. Ciracas, Kota Jakarta Timur, Daerah Khusus Ibukota Jakarta 13720</t>
  </si>
  <si>
    <t>Zaidan Ramadhana Riesna
Novicha Sofriani</t>
  </si>
  <si>
    <t>Blitar - Bung Karno</t>
  </si>
  <si>
    <t>Jl. Kalimantan RT 003/RW 002, Kelurahan Sananwetan, Kecamatan Sananwetan, Kota Blitar, Jawa Timur 66137</t>
  </si>
  <si>
    <t>Tangerang Selatan - BSD Boulevard</t>
  </si>
  <si>
    <t>Blok F, BSD City, Ruko Tol Boulevard, Jl. Kapten Soebijanto Djojohadikusumo No.6, RT.: 005/RW.: 010, Rw. Buntu, Kec. Serpong, Kota Tangerang Selatan, Banten 15318</t>
  </si>
  <si>
    <t>Arif Rahman Budihanifa
Dian Marhamah
Vita Nuraini
Arif Rahman</t>
  </si>
  <si>
    <t>Tangerang Selatan - Pamulang</t>
  </si>
  <si>
    <t>Jl. Pajajaran No 2&amp;3, RW.3, Pamulang Barat, Kec. Pamulang, Kota Tangerang Selatan, Banten 15417</t>
  </si>
  <si>
    <t>Gianyar - Dharma giri</t>
  </si>
  <si>
    <t>Jl. By Pass Dharma Giri sebelah Utara Pengadilan Agama Gianyar. Kelurahan Gianyar. Kecamatan Gianyar Bali. Bali 80515</t>
  </si>
  <si>
    <t>Gowa - Sungguminasa</t>
  </si>
  <si>
    <t>Ruko Yasmin Square, Jl. Tumanurung No.15, Kalegowa, Kec. Somba Opu, Kabupaten Gowa, Sulawesi Selatan 92114</t>
  </si>
  <si>
    <t>Makassar - Sudiang</t>
  </si>
  <si>
    <t>Jl. Perintis Kemerdekaan No.62, Ruko 11, Pai, Kec. Biringkanaya, Kota Makassar, Sulawesi Selatan 90242</t>
  </si>
  <si>
    <t>Bandung - Kopo</t>
  </si>
  <si>
    <t>Jl. Terusan Kopo Ruko No. 366 F, Kabupaten Bandung, Jawa Barat 40226</t>
  </si>
  <si>
    <t>Banda Aceh - Jambo Tape</t>
  </si>
  <si>
    <t>Jl. Syiah Kuala No.12, Bandar Baru, Kec. Kuta Alam, Kota Banda Aceh, Aceh 23126</t>
  </si>
  <si>
    <t>Polewali Mandar - Andi Depu</t>
  </si>
  <si>
    <t>Jl. H. Andi Depu, Takatidung, Kec. Polewali, Kabupaten Polewali Mandar, Sulawesi Barat 91311</t>
  </si>
  <si>
    <t>Bandung - Antapani</t>
  </si>
  <si>
    <t>Jl. Terusan Jakarta No.30I, Cicaheum, Kec. Kiaracondong, Kota Bandung, Jawa Barat 40281</t>
  </si>
  <si>
    <t>Ervien Noviyanti</t>
  </si>
  <si>
    <t>Surabaya - Wiyung</t>
  </si>
  <si>
    <t>Ruko Taman Pondok Indah no. 12, Kel. Wiyung, Kec. Wiyung, Kota Surabaya, Jawa Timur 60228</t>
  </si>
  <si>
    <t>Palu - Jenderal Sudirman</t>
  </si>
  <si>
    <t>Jl. Sudirman, Lolu Utara, Kec. Palu Sel., Kota Palu, Sulawesi Tengah 94111</t>
  </si>
  <si>
    <t>Palembang - Kenten</t>
  </si>
  <si>
    <t>Jl. MP. Mangkunegara No.432 (K), RT.005 RW.001 Kel. Bukit Sangkal Kec. Kalidoni, Kota Palembang, Sumatera Selatan 30114</t>
  </si>
  <si>
    <t>Susi Arsiyanti
Kristi Laurensia</t>
  </si>
  <si>
    <t>Bukittinggi - Manggis Ganting</t>
  </si>
  <si>
    <t>Jl. Soekarno - Hatta No 2, Rt 001, Rw 04, Kel. Manggis Ganting, Kec. Mandiangin Koto Selayan, Bukittingi. Sumatera Barat 28117</t>
  </si>
  <si>
    <t>Pekanbaru - Panam</t>
  </si>
  <si>
    <t>Jl. Hr. Subrantas KM.10,5 No. 2 RT.4 RW.12. Kel.Tobek Godang, Kec. Binawidya. Kota Pekanbaru, Provinsi Riau, Indonesia 28294</t>
  </si>
  <si>
    <t>Semarang - Majapahit</t>
  </si>
  <si>
    <t>Jl. Kedungmundu Raya RT 001; RW 005, Kecamatan Tembalang, Kelurahan Sendangmulyo, Semarang 50272</t>
  </si>
  <si>
    <t>Binjai - Veteran</t>
  </si>
  <si>
    <t>Jl. Veteran no 2 Tangsi, Kec. Binjai Kota, Kota Binjai, Sumatera Utara 20714</t>
  </si>
  <si>
    <t>Palembang - Seberang Ulu</t>
  </si>
  <si>
    <t>Jl. KH. Rasyid Sidik No. 50D/50C, Rt 009, Rw 002 Kel. 8 Ulu, Kec. Jakabaring. Kota Palembang 30111</t>
  </si>
  <si>
    <t>Purwakarta - Martadinata</t>
  </si>
  <si>
    <t>Jl. Laks. Laut RE. Martadinata No.82b, Nagri Kidul, Kec. Purwakarta, Kabupaten Purwakarta, Jawa Barat 41111</t>
  </si>
  <si>
    <t>Bandar Lampung - Rajabasa</t>
  </si>
  <si>
    <t>Jl. ZA Pagar Alam 34 H-I, Kelurahan Gedung Meneng, Kecamatan Rajabasa, Kota Bandar Lampung, Lampung 35144</t>
  </si>
  <si>
    <t>Subang - Otista</t>
  </si>
  <si>
    <t>Jl. Otista RT 041/011, Kel. Karanganyar, Kec. Subang, Kab. Subang, Jawa Barat 41211</t>
  </si>
  <si>
    <t>Bandung - MTC</t>
  </si>
  <si>
    <t>Komplek Metro Trade Centre blok B37 dan B38, Jl. Soekarno Hatta, Kelurahan Sekejati, Kecamatan Buahbatu, Bandung, Jawa Barat 40286</t>
  </si>
  <si>
    <t>MTC Bandung</t>
  </si>
  <si>
    <t>Bone - Ahmad Yani</t>
  </si>
  <si>
    <t>Jl. Jend. Ahmad Yani No.Kel, Jeppee, Kec. Tanete Riattang Bar., Kabupaten Bone, Sulawesi Selatan 92711</t>
  </si>
  <si>
    <t>Medan - Johor</t>
  </si>
  <si>
    <t>Jl. Karya Wisata Komplek J city no D 37 - 38, Pangkalan masyur, Kec Medan Johor, Kota Medan, Sumatera Utara 2014</t>
  </si>
  <si>
    <t>Jakarta Selatan - Petukangan</t>
  </si>
  <si>
    <t>Jl. Ciledug Raya no. 5, RT.004 RW.003, Petukangan Selatan, Pesanggrahan, Jakarta Selatan, DKI Jakarta 12270</t>
  </si>
  <si>
    <t>Azzahra Novtry</t>
  </si>
  <si>
    <t>Depok - Cinere</t>
  </si>
  <si>
    <t>Ruko Pasar Segar Cinere Blok RA. 3, Jl. Cinere Raya no.145, Cinere, Kec. Cinere, Kota Depok, Jawa Barat 16514</t>
  </si>
  <si>
    <t>Hans Martino Y. Sitinjak</t>
  </si>
  <si>
    <t>Denpasar - Jimbaran</t>
  </si>
  <si>
    <t>Jl. Uluwatu no 46, Jimbaran, Kuta Selatan, Kab. Badung (Jimbaran Arcade C), Bali 80361</t>
  </si>
  <si>
    <t>Lubuk Pakam - Tengku Raja Muda</t>
  </si>
  <si>
    <t>Jl. Tengku Raja muda no 3 A - B kel Lubuk Pakam I/II kec Lubuk Pakam Kab Deli Serdang 20517</t>
  </si>
  <si>
    <t>Padang - Gajah Mada</t>
  </si>
  <si>
    <t>Jl. Gajah Mada Kp. Olo, Gunung. Kelurahan Pangilun, Kecamatan Nanggalo, Kota Padang, Sumatera Barat 25173</t>
  </si>
  <si>
    <t>Boyolali - Merdeka</t>
  </si>
  <si>
    <t>Jl. Merdeka Timur, Kemiri, Kec. Mojosongo, Kabupaten Boyolali, Jawa Tengah 57321</t>
  </si>
  <si>
    <t>Bantul - Gose</t>
  </si>
  <si>
    <t>Jl. Kh Wahid Hasyim no.73, Taskombang, Ringinharjo, Kec. Bantul, Kabupaten Bantul, Daerah Istimewa Yogyakarta 55713</t>
  </si>
  <si>
    <t>Kisaran - Dr. Wahidin</t>
  </si>
  <si>
    <t>Jl. Dr. Wahidin No.67, Tegal Sari, Kec. Kota Kisaran Barat, Kabupaten Asahan, Sumatera Utara 21211</t>
  </si>
  <si>
    <t>Malang - Sawojajar</t>
  </si>
  <si>
    <t>Jl. Danau Toba G1-E22 , Kelurahan Sawojajar, Kecamatan Kedungkandang, Kota Malang, Jawa Timur 65139</t>
  </si>
  <si>
    <t>Salatiga - Moh. Yamin</t>
  </si>
  <si>
    <t>Jl. Prof. Muh Yamin No.7 Kel. Salatiga, Kec. Sidorejo, Kota Salatiga, Jawa Tengah 50711</t>
  </si>
  <si>
    <t>Rantau Prapat - Ahmad Yani</t>
  </si>
  <si>
    <t>Jl. Ahmad Yani No 104A-B, Bakaran Batu, Kec. Rantau Sel., Kab. Labuhanbatu, Sumatera Utara 21411</t>
  </si>
  <si>
    <t>Magelang - Diponegoro</t>
  </si>
  <si>
    <t>Jl. Pangeran Diponegoro no.54, Kelurahan Cacaban, Kecamatan Magelang Tengah, Kota Magelang, Jawa Tengah 56121</t>
  </si>
  <si>
    <t>Tangerang - Karawaci</t>
  </si>
  <si>
    <t>Jl. Karet Raya no. 26-28, Kelurahan Cibodasari, Kecamatan Cibodas, Kota Tangerang, Banten 15138</t>
  </si>
  <si>
    <t>Kuningan - Siliwangi</t>
  </si>
  <si>
    <t>Jl. Siliwangi No.176, Purwawinangun, Kec. Kuningan, Kab. Kuningan, Jawa Barat 45511</t>
  </si>
  <si>
    <t>Pekanbaru - Imam Munandar</t>
  </si>
  <si>
    <t>JI. Imam Munandar No.388A, Tengkerang Labuai, Kec. Bukit Raya, Kota Pekanbaru, Riau 28126</t>
  </si>
  <si>
    <t>Banjarbaru - Ahmad Yani</t>
  </si>
  <si>
    <t>Jl. A. Yani KM. 35 Ruko No. 2 - 3, Kelurahan Loktabat Sel, Kecamatan Banjarbaru Selatan, Kota Banjar Baru, Kalimantan Selatan 70714</t>
  </si>
  <si>
    <t>Banjarmasin - Hasan Bashri</t>
  </si>
  <si>
    <t>Jl. Bridgen H. Hasan Basri no. 1 , Kayu Tangi, Kelurahan Pangeran, Kecamatan Banjarmasin Utara, Kota Banjarmasin, Kalimantan Selatan 70124</t>
  </si>
  <si>
    <t>Jakarta Barat - Cengkareng</t>
  </si>
  <si>
    <t>Jl. Raya Kresek, RT.9/RW.13, Kelurahan Duri Kosambi, Kecamatan Cengkareng, Kota Jakarta Barat, Daerah Khusus Ibukota Jakarta 11750</t>
  </si>
  <si>
    <t>Yogyakarta - Sagan</t>
  </si>
  <si>
    <t>Ruko Sagan Square, Jl. Prof. Herman Yohanes, Kelurahan Terban, Kecamatan Gondokusuman, Kota Yogyakarta, Daerah Istimewa Yogyakarta 55223</t>
  </si>
  <si>
    <t>Sagan Yogyakarta</t>
  </si>
  <si>
    <t>Tegal - Cokroaminoto</t>
  </si>
  <si>
    <t>Jl. Hos Cokroaminoto no. 63, Pekauman, Kecamatan Tegal Barat, Kota Tegal, Jawa Tengah 52125</t>
  </si>
  <si>
    <t>Tulungagung - Dr. Wahidin</t>
  </si>
  <si>
    <t>Jl. Dr. Wahidin Sudirohusodo, Kelurahan Kenayan, Kecamatan Tulungagung, Kabupaten Tulungagung, Jawa Timur 66229</t>
  </si>
  <si>
    <t>Batam - Batam Center</t>
  </si>
  <si>
    <t>Komplek Mahkota Raya Blok A no.16, Teluk Tering, Kecamatan Batam Kota, Kota Batam, Kepulauan Riau 29444</t>
  </si>
  <si>
    <t>Jakarta Selatan - Tebet</t>
  </si>
  <si>
    <t>Jl. Tebet Raya no. 67, RT.09/RW.01, Kelurahan Tebet Timur, Kecamatan Tebet, Kota Jakarta Selatan, Daerah Khusus Ibukota Jakarta 12820</t>
  </si>
  <si>
    <t>Fachreza Aulia Trinanda
Arif Rahman Budihanifa
Masano Priya Hutama
Masano Priyahutama
Padma Laili
Azzahra Novtri Ramadhanty</t>
  </si>
  <si>
    <t>Banyuwangi - Brawijaya</t>
  </si>
  <si>
    <t>Jl. Brawijaya II, Kelurahan Mojopanggung, Kecamatan Giri, Kabupaten Banyuwangi, Jawa Timur 68416</t>
  </si>
  <si>
    <t>Probolinggo - Slamet Riyadi</t>
  </si>
  <si>
    <t>Jl. Slamet Riyadi no.3A RT.01 / RW.13, Kelurahan Kanigaran, Kecamatan Kanigaran, Kota Probolinggo, Jawa Timur 67213</t>
  </si>
  <si>
    <t>Malang - Kepanjen</t>
  </si>
  <si>
    <t>Jl. Kawi no. 89 RT. 004 / RW. 005, Kelurahan Kepanjen, Kecamatan Kepanjen, Kabupaten Malang, Jawa Timur 65163</t>
  </si>
  <si>
    <t>Sragen - Sukowati</t>
  </si>
  <si>
    <t>Jl. Sukowati No.348, Kebayan 1, Kelurahan Sragen Kulon, Kecamatan Sragen, Kabupaten Sragen, Jawa Tengah 57211</t>
  </si>
  <si>
    <t>Wonogiri - Gajahmungkur</t>
  </si>
  <si>
    <t>Jl. Pelem 1, Kajen, Giripurwo, Kec. Wonogiri, Kabupaten Wonogiri, Jawa Tengah 57611</t>
  </si>
  <si>
    <t>Sukoharjo - Veteran</t>
  </si>
  <si>
    <t>Jl. Veteran RT 002/RW 007, Kelurahan Jetis, Kecamatan Sukoharjo, Kabupaten Sukoharjo, Jawa Tengah 57511</t>
  </si>
  <si>
    <t>Bogor - Braja Mustika</t>
  </si>
  <si>
    <t>Komplek Ruko Braja Mustika tahap 1, Jl. Dr. Sumeru Blok B.15. RT 002 / RW 001, Kelurahan Menteng, Kecamatan Bogor Barat, Kota Bogor, Jawa Barat 16111</t>
  </si>
  <si>
    <t>Daniel Napitupulu</t>
  </si>
  <si>
    <t>Pasuruan - Panglima Sudirman</t>
  </si>
  <si>
    <t>Jl. Panglima Sudirman no. 95 RT 03/RW 02, Dusun Jambangan, Kelurahan Purworejo, Kecamatan Purworejo, Kota Pasuruan, Jawa Timur 67116</t>
  </si>
  <si>
    <t>Bojonegoro - Dr. Cipto</t>
  </si>
  <si>
    <t>Jl. Dr. Cipto no. 92, Mojo Kp, Kelurahan Mojokampung, Kecamatan Bojonegoro, Kabupaten Bojonegoro, Jawa Timur 62119</t>
  </si>
  <si>
    <t>Medan - Sisingamangaraja</t>
  </si>
  <si>
    <t>Jl. Ir. H. Juanda Blok A no. 8, Kelurahan Pasar Merah Barat, Kecamatan Medan Kota, Kota Medan, Sumatera Utara 20217</t>
  </si>
  <si>
    <t>Ponorogo - Bhayangkara</t>
  </si>
  <si>
    <t>Jl. Bhayangkara no. 26 RT.03/RW.03, Kelurahan Banyudono, Kecamatan Ponorogo, Kabupaten Ponorogo, Jawa Timur 63411</t>
  </si>
  <si>
    <t>Surabaya - Rungkut</t>
  </si>
  <si>
    <t>Jl. Rungkut Asri Tengah no. 3 RT. 003/RW. 008, Kelurahan Rungkut Kidul, Kecamatan Rungkut, Kota Surabaya, Jawa Timur 60293</t>
  </si>
  <si>
    <t>Resky Andi Wicaksono
Meyla Dewi Setyorini</t>
  </si>
  <si>
    <t>Jakarta Selatan - Jagakarsa</t>
  </si>
  <si>
    <t>Jl. Moh. Kahfi 1 RT.06 / RW.01, Kelurahan Cipedak, Kecamatan Jagakarsa, Kota Jakarta Selatan, Daerah Khusus Ibukota Jakarta 12630</t>
  </si>
  <si>
    <t>Cintya Kusuma Mahadhika
Fachreza Aulia Trinanda
Tiara Meilani Ritonga</t>
  </si>
  <si>
    <t>Bengkulu - Selebar</t>
  </si>
  <si>
    <t>Jl. Adam Malik 10 RT. 004 / RW. 001, Kel. Pagar Dewa, Kec. Selebar, Kota Bengkulu, Bengkulu 38211</t>
  </si>
  <si>
    <t>Bandung - Cibiru</t>
  </si>
  <si>
    <t>Jl. Raya Cinunuk no.134 RT. 08 / RW.14, Kelurahan Cinunuk, Kecamatan Cileunyi, Kabupaten Bandung, Jawa Barat 40624</t>
  </si>
  <si>
    <t>Depok - Kelapa Dua</t>
  </si>
  <si>
    <t>Jl. Komjen M Jasin no.24 RT. 003 / RW.004, Kelurahan Tugu, Kecamatan Cimanggis, Kota Depok, Jawa Barat 16451</t>
  </si>
  <si>
    <t>Jakarta Utara - Koja</t>
  </si>
  <si>
    <t>Jl. Kramat Raya no. 22 E RT.006 / RW.017, Kelurahan Tugu Utara, Kecamatan Koja, Kota Jakarta Utara, Daerah Khusus Ibukota Jakarta 14260</t>
  </si>
  <si>
    <t>Tangerang Selatan - Ciputat Timur</t>
  </si>
  <si>
    <t>Jl. Ir. H. Juanda no. 71D, RW.01, Kelurahan Rempoa, Kecamatan Ciputat Tim, Kota Tangerang Selatan, Banten 15412</t>
  </si>
  <si>
    <t>Soppeng - Lalabata</t>
  </si>
  <si>
    <t>Jl. Kemakmuran no.173, Kelurahan Lemba, Kecamatan Lalabata, Kabupaten Soppeng, Sulawesi Selatan 90811</t>
  </si>
  <si>
    <t>Semarang - Ungaran</t>
  </si>
  <si>
    <t>Jl. Diponegoro 745/181 no.14 RT.002/RW.003, Kelurahan Dliwang, Kecamatan Ungaran Barat, Kabupaten Semarang, Kota Ungaran, Jawa Tengah 50511</t>
  </si>
  <si>
    <t>Payakumbuh - Simpang Benteng</t>
  </si>
  <si>
    <t>Jl. Ade Irma Suryani No. 20 A RT 002/RW 001, Kel. Kotokociak Kubu Tapak Rajo, Kec. Payakumbuh Utara, Kota Payakumbuh, Sumatera Barat 26218</t>
  </si>
  <si>
    <t>Lhokseumawe - Merdeka</t>
  </si>
  <si>
    <t>Jl. Merdeka, Kelurahan Simpang Empat, Kecamatan Banda Sakti, Kota Lhokseumawe, Aceh 24313</t>
  </si>
  <si>
    <t>Tabanan - Ir. Soekarno</t>
  </si>
  <si>
    <t>Jl. Dr. Ir. Soekarno no.100X, Kelurahan Delod Peken, Kecamatan Tabanan, Kabupaten Tabanan, Bali 82121</t>
  </si>
  <si>
    <t>Tangerang - Ciledug</t>
  </si>
  <si>
    <t>Jl. Raden Saleh no.9B, Kelurahan Karang Tengah, Kecamatan Karang Tengah, Kota Tangerang, Banten 15157</t>
  </si>
  <si>
    <t>Tangerang - Gading Serpong</t>
  </si>
  <si>
    <t>Ruko Sentral Gading Serpong Blok SG01 no 10, Jl. Gading Serpong Boulevard No.10, West Pakulonan, Kelapa Dua, Tangerang Regency, Banten 15810</t>
  </si>
  <si>
    <t>Arif Rahman Budihanifa
Ayomi Sasmito
Arif Rahman
Vita Nuraini &amp; Dian Marhamah</t>
  </si>
  <si>
    <t>Magetan - Samudra</t>
  </si>
  <si>
    <t>Jl. Samudra no.18 RT.04/RW.02, Dusun Bulukerto, Kelurahan Bulukerto, Kecamatan Magetan, Kabupaten Magetan, Jawa Timur 63315</t>
  </si>
  <si>
    <t>Metro - Sudirman</t>
  </si>
  <si>
    <t>Jl. Jendral Sudirman RT .013 / RW. 04, Kelurahan Imopuro, Kecamatan Metro Pusat, Kota Metro, Lampung 34111</t>
  </si>
  <si>
    <t>Pare - Sudirman</t>
  </si>
  <si>
    <t>Jl. Pb. Sudirman no.114 (Ruko no 7 dan 9 ), Kelurahan Puhrejo, Kecamatan Pare, Kabupaten Kediri, Jawa Timur 64212</t>
  </si>
  <si>
    <t>Bekasi - Mustika Jaya</t>
  </si>
  <si>
    <t>Ruko Pasadena, Jl. Mutiara Gading Timur Raya no. 31, RT.010/RW.028, Kelurahan Mustikajaya, Kecamatan Mustika Jaya, Kota Bekasi, Jawa Barat 17158</t>
  </si>
  <si>
    <t>Jakarta Timur - Jatinegara</t>
  </si>
  <si>
    <t>Jl. Matraman Raya no. 212 RT 004/RW 003, Kelurahan Kampung Melayu, Kecamatan Jatinegara, Kota Jakarta Timur, Daerah Khusus Ibukota Jakarta 13320</t>
  </si>
  <si>
    <t>Bogor - Baranangsiang</t>
  </si>
  <si>
    <t>Jl Pajajaran no. 78H RT. 005/RW. 004, Kelurahan Baranangsiang, Kecamatan Bogor Timur, Kota Bogor, Jawa Barat 16143</t>
  </si>
  <si>
    <t>Cibinong - Cikaret</t>
  </si>
  <si>
    <t>Jl. KSR Dadi Kusmayadi No. 1 RT 02/RW 05, Kelurahan Tengah, Kecamatan Cibinong, Kabupaten Bogor, Jawa Barat 16914</t>
  </si>
  <si>
    <t>Pekalongan - Diponegoro</t>
  </si>
  <si>
    <t>Jl. Diponegoro no. 43 RT. 001/RW. 03, Kelurahan Dukuh, Kecamatan Pekalongan Utara, Kota Pekalongan, Jawa Tengah 51146</t>
  </si>
  <si>
    <t>Surabaya - Gayungsari</t>
  </si>
  <si>
    <t>Jl. Gayungsari Barat no. 74 RT. 03/RW. 05, Kelurahan Gayungan, Kecamatan Gayungan, Kota Surabaya, Jawa Timur 60235</t>
  </si>
  <si>
    <t>Sukabumi - Sudirman</t>
  </si>
  <si>
    <t>Jl. Veteran 1 RT. 001/RW. 003, Kelurahan Gunung Parang, Kecamatan Cikole, Kabupaten Sukabumi, Jawa Barat 43111</t>
  </si>
  <si>
    <t>Bontang - Brigjen Katamso</t>
  </si>
  <si>
    <t>Jl. Brigjen Katamso no. 8 RT. 44, Kelurahan Belimbing, Kecamatan Bontang Barat, Kota Bontang, Kalimantan Timur 75331</t>
  </si>
  <si>
    <t>Sidoarjo - Trunojoyo</t>
  </si>
  <si>
    <t>Jl. Trunojoyo no.7 RT. 004/RW. 002, Kelurahan Sidoklumpuk, Kecamatan Sidoarjo, Kabupaten Sidoarjo, Jawa Timur 61218</t>
  </si>
  <si>
    <t>Kubu Raya - Serdam</t>
  </si>
  <si>
    <t>Jl. Sungai Raya Dalam no. A11, Kelurahan Sungai Raya, Kecamatan Sungai Raya, Kabupaten Kubu Raya, Kota Pontianak, Kalimantan Barat 78391</t>
  </si>
  <si>
    <t>Bekasi - Bintara</t>
  </si>
  <si>
    <t>Ruko Puri Bintara Blok S no. 4 RT 20/RW 02, Kelurahan Bintara, Kecamatan Bekasi Barat, Kota Bekasi, Jawa Barat 17145</t>
  </si>
  <si>
    <t>Jakarta Pusat - Cempaka Putih</t>
  </si>
  <si>
    <t>Jl. Cempaka Putih Tengah II Blok B no. 8, RT 11/RW 05, Kelurahan Cempaka Putih Timur, Kecamatan Cempaka Putih, Kota Jakarta Pusat, Daerah Khusus Ibukota Jakarta 10510</t>
  </si>
  <si>
    <t>Jakarta Timur - Buaran</t>
  </si>
  <si>
    <t>Pertokoan Taman Buaran Indah I, Jalan Raden inten II Blok B 206. RT. 01/RW. 14, Kelurahan Duren Sawit, Kecamatan Duren Sawit, Kota Jakarta Timur, Daerah Khusus Ibukota Jakarta 13470</t>
  </si>
  <si>
    <t>Bekasi - Jatibening</t>
  </si>
  <si>
    <t>Jl. Caman Raya no. 17 B RT 03/RW 03, Kelurahan Jatibening, Kecamatan Pondok Gede, Kota Bekasi, Jawa Barat 17412</t>
  </si>
  <si>
    <t>- (Mulai Online dulu)</t>
  </si>
  <si>
    <t>Jakarta Timur - Condet</t>
  </si>
  <si>
    <t>Jl. Raya Condet RT. 011/RW. 03, Kelurahan Batu Ampar, Kecamatan Kramat Jati, Kota Jakarta Timur, Daerah Khusus Ibukota Jakarta 13530</t>
  </si>
  <si>
    <t>Farras Rayhan</t>
  </si>
  <si>
    <t>Jakarta Selatan - Pejaten</t>
  </si>
  <si>
    <t>Jl. Warung Buncit Raya no. 4B, RT.003/RW.05, Kelurahan Kalibata, Kecamatan Pancoran, Kota Jakarta Selatan, Daerah Khusus Ibukota Jakarta 12740</t>
  </si>
  <si>
    <t>Singaraja - Ahmad Yani</t>
  </si>
  <si>
    <t>Jl. Ahmad Yani, Kelurahan Kampung Kajanan, Kecamatan Buleleng, Bali 81114</t>
  </si>
  <si>
    <t>Tangerang - Sangiang</t>
  </si>
  <si>
    <t>Jl. Moh Toha 1 RT 001/RW 004, Kelurahan Pabuaran Tumpeng, Kecamatan Karawaci, Kota Tangerang, Banten 15112</t>
  </si>
  <si>
    <t>Bandung - Padalarang</t>
  </si>
  <si>
    <t>Jl. Raya Purwakarta 78 RT 04 / RW 10, Kelurahan Kertamulya, Kecamatan Padalarang, Kabupaten Bandung Barat, Jawa Barat 40553</t>
  </si>
  <si>
    <t>Bandung - Setiabudi</t>
  </si>
  <si>
    <t>Jl. Dr Setiabudhi 206B RT000/RW00, Kelurahan Hergamanah, Kecamatan Cidadap, Kota Bandung, Jawa Barat 40141</t>
  </si>
  <si>
    <t>Hayati Ramadhani Putri</t>
  </si>
  <si>
    <t>Palembang - Sukarami</t>
  </si>
  <si>
    <t>Jl. Pengadilan tinggi no. 2735 E dan no. 2735 F RT. 035/RW. 010, Kelurahan Karya baru, Kecamatan Alang-alang lebar, Kota Palembang, Sumatera Selatan 30961</t>
  </si>
  <si>
    <t>Padang - Sutomo</t>
  </si>
  <si>
    <t>Jl. Dr. Sutomo no. 22C, Kelurahan Kubu Marapalam, Kecamatan Padang Timur, Kota Padang, Sumatera Barat 25143</t>
  </si>
  <si>
    <t>Padang - Ujung Gurun</t>
  </si>
  <si>
    <t>Jl. Ujung Gurun no. 150C, Kelurahan Ujung Gurun, Kecamatan Padang Barat, Sumatera Barat 25114</t>
  </si>
  <si>
    <t>Cikarang - Cifest</t>
  </si>
  <si>
    <t>Ruko Cikarang Central City, Blok F no. 25, Jl. Raya Cikarang - Cibarusah, Desa Sukadami, Kecamatan Cikarang Selatan, Kabupaten Bekasi, Jawa Barat 17530</t>
  </si>
  <si>
    <t>Bekasi - Agus Salim</t>
  </si>
  <si>
    <t>Jl. H. Agus Salim no. 151-152, RT.001/RW.008, Kelurahan Bekasi Jaya, Kecamatan Bekasi Timur, Kota Bekasi, Jawa Barat 17112</t>
  </si>
  <si>
    <t>Mamuju - Sultan Hasanuddin</t>
  </si>
  <si>
    <t>Jl. Sultan Hasanuddin, Kelurahan Binanga, Kecamatan Mamuju, Kabupaten Mamuju, Sulawesi Barat 91511</t>
  </si>
  <si>
    <t>Bandung - Bengawan</t>
  </si>
  <si>
    <t>Jl. Bengawan no.65, Kelurahan Cihapit, Kecamatan Bandung Wetan, Kota Bandung, Jawa Barat 40114</t>
  </si>
  <si>
    <t>Tri Zakia Audia Malika
Aditya Rizki
Ervien Noviyanti</t>
  </si>
  <si>
    <t>Jepara - Pemuda</t>
  </si>
  <si>
    <t>Jl. Pemuda no.66, RT 02 / RW 05, Kelurahan Panggang, Kecamatan Jepara, Kabupaten Jepara, Jawa Tengah 59411</t>
  </si>
  <si>
    <t>Batu - Agus Salim</t>
  </si>
  <si>
    <t>Jl. KH Agus Salim 141 RT 05/RW 11, Kelurahan Temas, Kecamatan Batu, Kota Batu, Jawa Timur 65315</t>
  </si>
  <si>
    <t>Cilacap - S. Parman</t>
  </si>
  <si>
    <t>Jl. S. Parman, Mayjend., RT 001/RW 03, Kelurahan Sidanegara, Kecamatan Cilacap Tengah, Kabupaten Cilacap, Jawa Tengah 53212</t>
  </si>
  <si>
    <t>Gunungkidul - KH Agus Salim</t>
  </si>
  <si>
    <t>Jl. KH Agus Salim no.12, Kelurahan Kepek, Kecamatan Wonosari, Kabupaten Gunung Kidul, Daerah Istimewa Yogyakarta 55813</t>
  </si>
  <si>
    <t>Jambi - Bungo</t>
  </si>
  <si>
    <t>Jl. Diponegoro, Kelurahan Pasir Putih, Kecamatan Rimbo Tengah, Kabupaten Muara Bungo, Jambi 37215</t>
  </si>
  <si>
    <t>Makassar - Baruga</t>
  </si>
  <si>
    <t>Ruko Malino Blok C no.3, Jl. Bukit Baruga Raya, Kelurahan Antang, Kecamatan Manggala, Antang, Kec. Manggala, Kota Makassar, Sulawesi Selatan 90234</t>
  </si>
  <si>
    <t>Semarang - Karangayu</t>
  </si>
  <si>
    <t>Jl. Jend. Sudirman 322 Ruko no. 2 RT 001/RW 002, Kelurahan Salaman Mloyo, Kecamatan Semarang Barat, Kota Semarang, Jawa Tengah 50149</t>
  </si>
  <si>
    <t>Jakarta Selatan - Veteran</t>
  </si>
  <si>
    <t>Jl. Pahlawan no.36, Rempoa, Kec. Ciputat Tim., Kota Tangerang Selatan, Banten 15412</t>
  </si>
  <si>
    <t>Jombang - Kapten Tendean</t>
  </si>
  <si>
    <t>Jl. Kapten Tendean RT 001/RW 006, Kelurahan Pulo Lor, Kecamatan Jombang, Kabupaten Jombang, Jawa Timur 61417</t>
  </si>
  <si>
    <t>Jakarta Utara - Pluit</t>
  </si>
  <si>
    <t>Komplek Puri Delta Mas Blok J no. 6, Jl. Bandengan Selatan no. 43, RT/RW 02/01, Kec. Penjaringan, Kel. Pejagalan, Jakarta Utara, 14450</t>
  </si>
  <si>
    <t>Gresik - GKB</t>
  </si>
  <si>
    <t>Jl. Sumatra No.32, Setingi, gkb, Kec. Kebomas, Kabupaten Gresik, Jawa Timur 61121</t>
  </si>
  <si>
    <t>Tangerang Selatan - Bintaro</t>
  </si>
  <si>
    <t>Ruko Graha Marcella, Jl. Bintaro Utama 3A No.1, Pd. Karya, Kec. Pd. Aren, Kota Tangerang Selatan, Banten 15225</t>
  </si>
  <si>
    <t>Ayomi Sasmito
Masano Priya Hutama
Susi Arsiyanti
Adinda Yuliana Satrya Putri
Mutiara Nathania Darma
Dian Marhamah
Az Zahra Andriend</t>
  </si>
  <si>
    <t>Balige - Patuan Nagari</t>
  </si>
  <si>
    <t>Jl. Patuan Nagari, Sangkar Nihuta, Kec. Balige, Toba, Sumatera Utara 22313</t>
  </si>
  <si>
    <t>Tebing Tinggi - Sudirman</t>
  </si>
  <si>
    <t>Jl. Jend. Sudirman No. A 25 A 26 Kec. Rambutan, Kota Tebing Tinggi, Sumatera Utara</t>
  </si>
  <si>
    <t>Purbalingga - Letkol Isdiman</t>
  </si>
  <si>
    <t>Jl. Letkol Isdiman No.114D, Bancar, Kec. Purbalingga, Kabupaten Purbalingga, Jawa Tengah 53316</t>
  </si>
  <si>
    <t>Solo - Serengan</t>
  </si>
  <si>
    <t>Jl. Moh. Yamin No.146, Panularan, Kec. Laweyan, Kota Surakarta, Jawa Tengah 57154</t>
  </si>
  <si>
    <t>Mojokerto - Airlangga</t>
  </si>
  <si>
    <t>Jl. Airlangga No. 197 RT.002 RW.001 Kel.Kauman Kec. Mojosari 61382</t>
  </si>
  <si>
    <t>Jakarta Barat - Citra Garden City</t>
  </si>
  <si>
    <t>CitraGarden City 6, Blok H11A No. 11-12, RT.10/RW.5, Kel. Tegal Alur, Kec. Kalideres, Kota Jakarta Barat, DKI Jakarta, 11810</t>
  </si>
  <si>
    <t>Maryo Khowijaya</t>
  </si>
  <si>
    <t>Nganjuk - Megantara</t>
  </si>
  <si>
    <t>Jl. Megantoro, no. 44A Ganungkidul, Kec. Nganjuk, Kabupaten Nganjuk, Jawa Timur</t>
  </si>
  <si>
    <t>Tangerang - Daan Mogot</t>
  </si>
  <si>
    <t>Jl. A. Damyati No. 12, RT.006/RW 003, Sukarasa, Kec. Tangerang, Banten, 15111</t>
  </si>
  <si>
    <t>Kabanjahe - Jamin Ginting</t>
  </si>
  <si>
    <t>Jalan Veteran, Komplek Grand Melia, Blok C, Nomor 4-5, Kelurahan Kampung Dalam, Kecamatan Kabanjahe, Kabupaten Karo, Provinsi Sumatera Utara, 22113</t>
  </si>
  <si>
    <t>Probolinggo - Kraksaan</t>
  </si>
  <si>
    <t>Jl. Mayjen Sutoyo No. 8, RT.05/RW.02 Kel. Patokan, Kec. Kraksaan, Kab. Probolinggo, 67282</t>
  </si>
  <si>
    <t>Ciamis - Samuji</t>
  </si>
  <si>
    <t>Jl. Letnan Samuji Komplek Ruko No.39-40, RT.03/RW.21, Kelurahan Ciburial, Kec. Ciamis, Kabupaten Ciamis, Jawa Barat 46211</t>
  </si>
  <si>
    <t>Tangerang - Balaraja</t>
  </si>
  <si>
    <t>Komplek Ruko Indah Mas No. 1, Jl. Raya Serang No.KM, RT02/RW02 Balaraja, Kec. Balaraja, Kabupaten Tangerang, Banten 15610</t>
  </si>
  <si>
    <t>Grobogan - Purwodadi</t>
  </si>
  <si>
    <t>Jl Diponegoro 8-9, Mekarsari, Danyang, Kecematan Purwodadi, Kabupaten Grobogan, Jawa Tengah, 58111</t>
  </si>
  <si>
    <t>Depok - Siliwangi</t>
  </si>
  <si>
    <t>Jalan.Siliwangi No,38 RT.002/010 Kelurahan.Depok Kecamatan.Pancoran Mas Kota Depok Jawa Barat 16431</t>
  </si>
  <si>
    <t>Depok Siliwangi</t>
  </si>
  <si>
    <t>Hans Martino Y. Sitinjak
Mariam Ulpah
Aulia Zahra Alika Swity
Farhan Nurdiansyah</t>
  </si>
  <si>
    <t>Duri - Hangtuah</t>
  </si>
  <si>
    <t>Jl.Hangtuah No.1 Akasia Kel. Duri Barat, Kec. Mandau, Duri Riau 28784</t>
  </si>
  <si>
    <t>Bandung - Baleendah</t>
  </si>
  <si>
    <t>Jl. Raya Banjaran No.232 RT.001/RW.011, Kelurahan Andir, Kecamatan Baleendah , Kode Pos 40375</t>
  </si>
  <si>
    <t>Pontianak - Wahid Hasyim</t>
  </si>
  <si>
    <t>Jl. Kh. Wahid Hasyim Nomor 122, Kec. Pontianak Kota, Kota Pontianak, Kalimantan Barat</t>
  </si>
  <si>
    <t>Sleman - Medari</t>
  </si>
  <si>
    <t>Jl. Magelang KM 14, Temulawak, Triharjo, Kec. Sleman, Kabupaten Sleman, Daerah Istimewa Yogyakarta 55514</t>
  </si>
  <si>
    <t>Denpasar - Sesetan</t>
  </si>
  <si>
    <t>Jl. Raya Sesetan No.701 Kelurahan Pedungan Kecamatan Denpasar Selatan Kota Denpasar 80223</t>
  </si>
  <si>
    <t>Tuban - KH Mustain</t>
  </si>
  <si>
    <t>Jl. KH Mustain No. 48 Kutorejo Kec. Tuban Kab. Tuban Jawa Timur 62311</t>
  </si>
  <si>
    <t>Lamongan - Veteran</t>
  </si>
  <si>
    <t>Jalan Veteran No 24, Banjarmendalan, Kecamatan Lamongan Kabupaten Lamongan, Jawa Timur, 62212</t>
  </si>
  <si>
    <t>Purworejo - Tentara Pelajar</t>
  </si>
  <si>
    <t>Jl. Tentara Pelajar No.7, Sibung, Pangenjurutengah, Kec. Purworejo, Kabupaten Purworejo, Jawa Tengah 54114</t>
  </si>
  <si>
    <t>Bireuen - Kota Juang</t>
  </si>
  <si>
    <t>Jl. Medan - Banda Aceh, Cot Gapu, Kec. Kota Juang, Kabupaten Bireuen, Aceh 24252</t>
  </si>
  <si>
    <t>Langsa - Ahmad Yani</t>
  </si>
  <si>
    <t>Jl. Ahmad Yani Desa Paya Bujok Seuleumak Kecamatan Langsa Baro Kota Langsa Provinsi Aceh 24415</t>
  </si>
  <si>
    <t>Sabang - Teuku Umar</t>
  </si>
  <si>
    <t>Jl. Teuku Umar, Kel. Kuta Barat, Kec. Sukakarya, Prov Aceh 23512</t>
  </si>
  <si>
    <t>Padang Sidempuan - Sudirman</t>
  </si>
  <si>
    <t>Jl. Sudirman No. 67, Wek II, Kec. Padangsidimpuan Utara, Kota Padangsidimpuan, Sumatera Utara 22711</t>
  </si>
  <si>
    <t>Sibolga - Sisingamangaraja</t>
  </si>
  <si>
    <t>Jl. Sisiimangaraja 91 Pancuran Gerobak, Sibolga Kota, Kota Sibolga, Sumatera Utara 22511</t>
  </si>
  <si>
    <t>Tarutung - DI Panjaitan</t>
  </si>
  <si>
    <t>Jl. Mayjend. D. I. Panjaitan, Hutatoruan VI, Kec. Tarutung, Kabupaten Tapanuli Utara, Sumatera Utara 22411</t>
  </si>
  <si>
    <t>Bengkulu - Curup</t>
  </si>
  <si>
    <t>Jl. MH Thamrin Air Rambai, RT 06 RW 02 Kel. Adirejo, Kec. Curup Kab. Rejang Lebong 39119</t>
  </si>
  <si>
    <t>Bengkulu - Manna</t>
  </si>
  <si>
    <t>Jl. Jenderal Ahmad Yani No.46 RT 06 Kel. Ibul Kec. Kota Manna, Kab. Bengkulu Selatan 38511</t>
  </si>
  <si>
    <t>Jambi - Muara Bulian</t>
  </si>
  <si>
    <t>Jl. Gajah Mada RT07 RW 02 Kel. Rengas Condong, Kec. Muara Bulian Kab. Batang Hari 36613</t>
  </si>
  <si>
    <t>Jambi - Sungai Penuh</t>
  </si>
  <si>
    <t>Jl. Yos Sudarso, Ps. Baru, Kec. Sungai Penuh, Kota Sungai Penuh, Jambi 37111</t>
  </si>
  <si>
    <t>Lahat - Lembayung</t>
  </si>
  <si>
    <t>Jln. M. Nuh Lembayung Kec. Lahat Kel. Bandar Jaya, Kabupaten Lahat, Sumatera Selatan 31414</t>
  </si>
  <si>
    <t>Lubuk Linggau - Taba Koji</t>
  </si>
  <si>
    <t>Jl. Yos Sudarso, Taba Koji, Kec. Lubuk Linggau Tim. I, Kota Lubuklinggau, Sumatera Selatan 31613</t>
  </si>
  <si>
    <t>Muara Enim - Sudirman</t>
  </si>
  <si>
    <t>Jl. jendral Sudirman, No. 72, RT 02 RW02 Kel. Pasar III Kec. Muara Enim Kab. Muara Enim Sumatera Selatan 31313</t>
  </si>
  <si>
    <t>Pangkal Pinang - Depati Hamza</t>
  </si>
  <si>
    <t>Jl. Depati Hamzah RT.04/RW.01, Semabung Baru, Kec. Grimaya, Kota Pangkal Pinang, Kepulauan Bangka Belitung 33111</t>
  </si>
  <si>
    <t>Bangkinang - Jenderal Sudirman</t>
  </si>
  <si>
    <t>Jalan Jenderal Sudirman RT 01 RW 07 Kelurahan Bangkinang, Kecamatan Bangkinang Kota, Kabupaten Kampar, Riau 28463</t>
  </si>
  <si>
    <t>Pangkalan Kerinci - Maharaja Indra</t>
  </si>
  <si>
    <t>Jalan Maharaja Indra no 8A , RT 01 / RW 10, Kel. Pangkalan Kerinci Kota , Kec. Pangkalan Kerinci, Kab. Pelalawan, Riau 28664</t>
  </si>
  <si>
    <t>Perawang - KM5</t>
  </si>
  <si>
    <t>Jl.Raya Perawang Km-5, RT 02/RW 05, Kelurahan Perawang, Kecamatan Tualang, Kabupaten Siak, Riau 28772</t>
  </si>
  <si>
    <t>Tanjung Pinang - Pamedan</t>
  </si>
  <si>
    <t>Jl. Raja Ali Haji, No.71&amp;72, RT 05 RW 03, Kel. Tanjung Pinang Timur, Kec. Bukit Bestari, Kota Tanjung Pinang, Kepulauan Riau 29122</t>
  </si>
  <si>
    <t>Teluk Kuantan - Beringin Taluk</t>
  </si>
  <si>
    <t>Jl. Tuanku Tambusai RT.005/RW.002 Kel. Beringin Taluk, Kec. Kuantan Tengah, Kab. Kuantan Singingi, Riau 29566</t>
  </si>
  <si>
    <t>Lampung - Liwa</t>
  </si>
  <si>
    <t>JL. Raden Intan No: 88 B RT/ RW: 001/002 LK. Suka Jadi II Kel. Way Mengaku Kec. Balik Bukit Kab. Lampung Barat Prov. Lampung 34812</t>
  </si>
  <si>
    <t>Lampung - Kalianda</t>
  </si>
  <si>
    <t>Jl. Trans Sumatra / Jl. Jati Permai LK 10 RT/RW 01/01 Kel. Way Urang Kec. Kalianda Kab. Lampung Selatan Prov. Lampung 35551</t>
  </si>
  <si>
    <t>Pringsewu - Ahmad Yani</t>
  </si>
  <si>
    <t>Jl. ahmad yani no 72B dan 72C RT/RW 003/002 Kel. Pringsewu Utara, Kec. Gadingrejo, Kab. Pringsewu, Lampung 35373</t>
  </si>
  <si>
    <t>Cilegon - PCI</t>
  </si>
  <si>
    <t>Ruko PCI Blok E-22 No. 41 - 42, Pondok Cilegon Indah, Kedaleman, Kec. Cibeber, Kota Cilegon, Banten 42423</t>
  </si>
  <si>
    <t>Majalengka - Abdul Halim</t>
  </si>
  <si>
    <t>Jl. Kh. Abdul Halim No.127, RT.011/RW.03, Majalengka Kulon, Kec. Majalengka, Kabupaten Majalengka, Jawa Barat 45418</t>
  </si>
  <si>
    <t>Garut - Perintis</t>
  </si>
  <si>
    <t>Komplek Pertokoan Garut Hyper Square, Jl. Perintis Kemerdekaan Kav A1, Haurpanggung, Kec. Tarogong Kidul, Kabupaten Garut, Jawa Barat 44151</t>
  </si>
  <si>
    <t>Kebumen - Kusuma</t>
  </si>
  <si>
    <t>Jl. Kusuma No.99 Dukuh Kebumen Kec. Kebumen Kabupaten Kebumen Jawa Tengah 54311</t>
  </si>
  <si>
    <t>Temanggung - Tentara Pelajar</t>
  </si>
  <si>
    <t>Jl. Tentara Pelajar No.2A, Kemantren, Kec. Temanggung, Kabupaten Temanggung, Jawa Tengah 56212</t>
  </si>
  <si>
    <t>Banyuwangi - Genteng</t>
  </si>
  <si>
    <t>Jl. Gajah Mada No.281, Dusun Krajan, Genteng Kulon, Kec. Genteng, Kabupaten Banyuwangi, Jawa Timur 68465</t>
  </si>
  <si>
    <t>Bondowoso - Diponegoro</t>
  </si>
  <si>
    <t>Jl. Diponegoro RT25/RW05, Kel. Kotakulon, Kec. Bondowoso Kode Pos 68213</t>
  </si>
  <si>
    <t>Malang - Lawang</t>
  </si>
  <si>
    <t>Jl. Dr Wahidin 19 RT : 001 RW : 004 Kel. Kalirejo Kec. Lawang Kab. Malang 65216</t>
  </si>
  <si>
    <t>Situbondo - Basuki Rahmat</t>
  </si>
  <si>
    <t>JL.Basuki Rahmat no.117B, Kel. Mimbaan, Kec. Panji. Kab. Situbondo , Jawa Timur, Kode Pos 68322</t>
  </si>
  <si>
    <t>Ngawi - Gading</t>
  </si>
  <si>
    <t>Jl. Ahmad Yani, RT.01/RW.01, Wareng, Beran, Kec. Ngawi, Kabupaten Ngawi, Jawa Timur 63216</t>
  </si>
  <si>
    <t>Jembrana - Jenderal Sudirman</t>
  </si>
  <si>
    <t>Jl. Jenderal Sudirman No. 34, Dauhwaru, Kec. Jembrana, Kabupaten Jembrana, Bali 82217</t>
  </si>
  <si>
    <t>Kupang - Frans Seda</t>
  </si>
  <si>
    <t>Jalan Frans Seda No. 16 C, Fatululi, Oebobo, Kota Kupang, Nusa Tenggara Timur 85111</t>
  </si>
  <si>
    <t>Palangkaraya - RTA Milono</t>
  </si>
  <si>
    <t>Jl. RTA Milono KM 4 ruko no.200f Kel. Menteng Kec. Pahandut, Menteng, Kec. Jekan Raya, Kota Palangka Raya, Kalimantan Tengah 73113</t>
  </si>
  <si>
    <t>Sangatta - Yos Sudarso</t>
  </si>
  <si>
    <t>Jl Yos Sudarso II, Kecamatan Sangatta Utara, Kelurahan Sangatta Utara, RT 15 kode pos 75683</t>
  </si>
  <si>
    <t>Tarakan - Jendral Sudirman</t>
  </si>
  <si>
    <t>Jalan jendral sudirman RT 04 kelurahan pamusian kecamatan Tarakan tengah</t>
  </si>
  <si>
    <t>Pangkep - Sultan Hasanuddin</t>
  </si>
  <si>
    <t>JI. Sultan Hasanuddin, Palampang, Kec. Pangkajene, Kabupaten Pangkajene Dan Kepulauan, Sulawesi Selatan 90614</t>
  </si>
  <si>
    <t>Pinrang - Jend. Sudirman</t>
  </si>
  <si>
    <t>Jl. Jend. Sudirman, Kel. Jaya, Kec. Watang Sawitto, Kab. Pinrang</t>
  </si>
  <si>
    <t>Wajo - Jend. Sudirman</t>
  </si>
  <si>
    <t>Jl. Jend Sudirman, Lapongkoda, Kec. Tempe, Kabupaten Wajo, Sulawesi Selatan 90913</t>
  </si>
  <si>
    <t>Parepare - Mattirotasi</t>
  </si>
  <si>
    <t>Jl. Mattiro Tasi, Tiro Sompe, Kec. Bacukiki Bar., Kota Parepare, Sulawesi Selatan 91121</t>
  </si>
  <si>
    <t>Tana Toraja - Makale</t>
  </si>
  <si>
    <t>Jl. Tritura, Kampean, Kec. Makale, Tana Toraja</t>
  </si>
  <si>
    <t>Luwuk Banggai - Moh. Hatta</t>
  </si>
  <si>
    <t>Jl. Dr. Moh. Hatta, Simpong, Luwuk, Kabupaten Banggai, Sulawesi Tengah 94711</t>
  </si>
  <si>
    <t>Bitung - Girian</t>
  </si>
  <si>
    <t>Jl. Tomohon - Tanahwangko, Kelurahan Wangurer Timur, Kota Bitung, Sulawesi Utara (epan Gereja Kharisma Dodik)</t>
  </si>
  <si>
    <t>Gorontalo - Nani Wartabone</t>
  </si>
  <si>
    <t>Jl. Hi. Nani Wartabone, RT 02 / RW 03, Kelurahan Limba U 1.</t>
  </si>
  <si>
    <t>Tomohon - Matani</t>
  </si>
  <si>
    <t>Jl. Raya Tomohon, Matani Tiga, Kec. Tomohon Tengah, Kota Tomohon, Sulawesi Utara.</t>
  </si>
  <si>
    <t>BauBau - Batara Guru</t>
  </si>
  <si>
    <t>Jl. Batara Guru, No. 70, Wajo, Kec. Murhum, Bau Bau, Sulawesi Tenggara</t>
  </si>
  <si>
    <t>Kolaka - Pramuka</t>
  </si>
  <si>
    <t>Jl. Pramuka No.42, Lamokato, Kec. Kolaka, Kabupaten Kolaka, Sulawesi Tenggara 93511</t>
  </si>
  <si>
    <t>Ternate - Takoma</t>
  </si>
  <si>
    <t>Jl. Hasan Esa No.153, Takoma, Kec. Ternate Tengah, Kota Ternate, Maluku Utara 97714</t>
  </si>
  <si>
    <t>Sorong - Pramuka</t>
  </si>
  <si>
    <t>Jl Pramuka No 6 D Remu Utara Distrik Sorong Kota Sorong Papua Barat 98416.</t>
  </si>
  <si>
    <t>Lebak - Rangkasbitung</t>
  </si>
  <si>
    <t>Jl. Soekarno-Hatta Jl. Bypass Rangkasbitung, Kaduagung Tim., Kec. Cibadak, Kabupaten Lebak, Banten 42357</t>
  </si>
  <si>
    <t>Bima - Gajah Mada</t>
  </si>
  <si>
    <t>Jl. Gajah Mada No.98, RT./ Rw:/RW.05, 03, Kec. Mpunda, Kab. Bima, Nusa Tenggara Bar. 84111</t>
  </si>
  <si>
    <t>Ketapang - R. Suprapto</t>
  </si>
  <si>
    <t>Jl R.Suprapto RT 024/RW08 Kelurahan Tengah Kecamatan Delta Pawan kode pos 78813</t>
  </si>
  <si>
    <t>Rengat - R. Suprapto</t>
  </si>
  <si>
    <t>Jl. R Suprapto No.80, RT./RW/RW.004/009, Sekip Hulu, Kec. Rengat, Kabupaten Indragiri Hulu, Riau 29319</t>
  </si>
  <si>
    <t>Tembilahan - M Boya</t>
  </si>
  <si>
    <t>JL.LEDTA, Jl. M. Boya KECAMATAN, RT.004/RW.008, Tembilahan Kota, Kec. Tembilahan, Kabupaten Indragiri Hilir, Riau 29212</t>
  </si>
  <si>
    <t>Tanjung Balai Karimun - Batu Lipai</t>
  </si>
  <si>
    <t>RUKO TELAGA HARAPAN BLOK 3B (BATU LIPAI) JL. TELAGA HARAPAN, BARAT, RT.003/RW.002, Sungai Lakam, Kec. Karimun, Kabupaten Karimun, Kepulauan Riau 29661</t>
  </si>
  <si>
    <t>Bengkulu - Argamakmur</t>
  </si>
  <si>
    <t>Jl. Ir. Sukarno RT.02 Kali Kec. Arga Makmur Kabupaten Bengkulu Utara Bengkulu 38611</t>
  </si>
  <si>
    <t>Kayu Agung - Pahlawan</t>
  </si>
  <si>
    <t>Jalan. H. M. Yusuf Singedekane Jua Jua Kec. Kayu Agung 30867</t>
  </si>
  <si>
    <t>Merangin - Bangko</t>
  </si>
  <si>
    <t>Jl. H.A Rahman Syukur Rt 019/Rw 05 Kel Pematang Kandis Kec. Bangko Kode Pos. 37314</t>
  </si>
  <si>
    <t>Toli Toli - KH. Wahid Hasyim</t>
  </si>
  <si>
    <t>Jl. KH. Wahid Hasyim No.1 Kel. Baru. Kec. Baolan. Toli toli. Sulawesi Tengah 94514</t>
  </si>
  <si>
    <t>Tanjung Pandan - Sriwijaya</t>
  </si>
  <si>
    <t>Jl. Sriwijaya, Parit, Kec. Tj. Pandan, Kabupaten Belitung, Kepulauan Bangka Belitung 33416</t>
  </si>
  <si>
    <t>Trenggalek - Tugu</t>
  </si>
  <si>
    <t>Ruko graha. Jl. Soekarno Hatta. Kel. Ngantru. Kec. Trenggalek. Jawa Timur 66311</t>
  </si>
  <si>
    <t>Tulungagung - Boyolangu</t>
  </si>
  <si>
    <t>Jl. Ki Hajar Dewantara, Krajan, Beji, Kec. Boyolangu, Kabupaten Tulungagung, Jawa Timur 66233</t>
  </si>
  <si>
    <t>Pangkalan Bun - Pakunegara</t>
  </si>
  <si>
    <t>Jl. Pakunegara No 1 Kelurahan raja Kec. Arut Selatan 74112.</t>
  </si>
  <si>
    <t>Berau - Ramania</t>
  </si>
  <si>
    <t>Jl. Ramania No.7, Karang Ambun, Kec. Tj. Redeb, Kabupaten Berau, Kalimantan, Timur, Karang Ambun, Kec. Tj. Redeb, Kabupaten Berau, Kalimantan Timur 77315</t>
  </si>
  <si>
    <t>Ende - Kelimutu</t>
  </si>
  <si>
    <t>Jalan Ahmad Yani , RT.023 RW.008, Kelurahan Kelimutu, Kecamatan Ende Tengah, Kabupaten Ende. Kode pos 86319</t>
  </si>
  <si>
    <t>Bulukumba - Jend. Sudirman</t>
  </si>
  <si>
    <t>Jl. Jend Sudirman, Terang-terang, Kec. Ujung Bulu, Kabupaten Bulukumba, Sulawesi Selatan 92511</t>
  </si>
  <si>
    <t>Baturaja - Ahmad Yani</t>
  </si>
  <si>
    <t>Jl. Jend. Ahmad Yani No 42 RT 43 Kemalaraja. Baturaja Timur Ogan Komering Ulu. Sumatera Selatan 32121</t>
  </si>
  <si>
    <t>Bagan Batu - Simpang Pujud</t>
  </si>
  <si>
    <t>Jl. Lintas Km 6 Blok B72, Bahtera Makmur, Kec. Bagan Sinembah, Kabupaten Rokan Hilir, Riau 28992</t>
  </si>
  <si>
    <t>Selong - Ahmad Dahlan</t>
  </si>
  <si>
    <t>Jl. KH Ahmad Dahlan No. 32 Pancor. Selong Lombok Timur. Nusa Tenggara Barat 83611</t>
  </si>
  <si>
    <t>Kudus - Dersalam</t>
  </si>
  <si>
    <t>JL. Jenderal Sudirman No 470 Dersalam. Bae Kudus. Jawa Tengah. 59321</t>
  </si>
  <si>
    <t>Lumajang - Tompokersan</t>
  </si>
  <si>
    <t>Jl. Brigjen Slamet Riyadi RT 07 RW 04, TOMPOKERSAN, LUMAJANG. LUMAJANG. JAWA TIMUR 67311</t>
  </si>
  <si>
    <t>Bandar Lampung - Way Halim</t>
  </si>
  <si>
    <t>Jl. Sultan Agung No. 28 II C, Way Halim Permai. Way Halim, Bandar Lampung. Lampung 35135</t>
  </si>
  <si>
    <t>Atambua - Proklamasi</t>
  </si>
  <si>
    <t>Jl. Proklamasi 015/005 Bardao. Atambua Barat. Atambua/Belu NTT 85715</t>
  </si>
  <si>
    <t>Depok - Sawangan</t>
  </si>
  <si>
    <t>Jalan Raya Muchtar No. 8 dan No. 9. Sawangan Baru. Sawangan. Depok 16511</t>
  </si>
  <si>
    <t>Indramayu - Sudirman</t>
  </si>
  <si>
    <t>Jl. Jend. Sudirman No. 176 02/11, Lemahmekar. Indramayu, Indramayu. Jawa Barat 45212</t>
  </si>
  <si>
    <t>Yogyakarta - Taman Siswa</t>
  </si>
  <si>
    <t>Kirana Lowanu Residence, Ruko No.07 Kav 06, RT.: 001/RW.:01, Sorosutan, Kec. Umbulharjo, Kota Yogyakarta, Daerah Istimewa Yogyakarta 55162</t>
  </si>
  <si>
    <t>Karangasem - Ahmad Yani</t>
  </si>
  <si>
    <t>Jl. Ahmad Yani No. 14. Subagan, Karangasem. Karangasem. Bali 70813</t>
  </si>
  <si>
    <t>Karanganyar - Tegalgede</t>
  </si>
  <si>
    <t>Jl. Citarum No 1. Donomulyo RT 01 / RW 04 - Tegalgedhe Karanganyar. Karanganyar, Jawa Tengah 57714</t>
  </si>
  <si>
    <t>Kendal - Rakese</t>
  </si>
  <si>
    <t>Jl. Raya Kendal - Semarang No. 283. Pegulon. Kota Kendal. Kendal. Jawa Tengah 51313</t>
  </si>
  <si>
    <t>Praya - Jenderal Sudirman</t>
  </si>
  <si>
    <t>Jl. Jenderal Sudirman, Pertokoan no. C3-C4. Prapen. Praya. Lombok Tengah. Nusa Tenggara barat 83511</t>
  </si>
  <si>
    <t>Parigi Moutong - Trans Sulawesi</t>
  </si>
  <si>
    <t>Jl. Trans Sulawesi 07/04. Kampal. Parigi. Parigi Moutong. Sulawesi Tengah 94471</t>
  </si>
  <si>
    <t>Bengkulu - Kepahiang</t>
  </si>
  <si>
    <t>Jl. Santoso Pasar Kepahiang 009/003. Pensiunan. Kepahiang. Kepahiang. Bengkulu 39172</t>
  </si>
  <si>
    <t>Jambi - Sarolangun</t>
  </si>
  <si>
    <t>Jl. Lintas Sumatera18/00. Dusun Sarolangun. Sarolangun. Sarolangun. Jambi 37481</t>
  </si>
  <si>
    <t>Banda Aceh - Merduati</t>
  </si>
  <si>
    <t>Jl Prof A Majid Ibrahim. Merduati. Kuta Raja. Banda Aceh. Aceh 23116</t>
  </si>
  <si>
    <t>Cikarang - Jababeka</t>
  </si>
  <si>
    <t>Hollywood Plaza No. 23 &amp; 25, Jalan. H. Usmar Ismail. Mekarmukti. Cikarang Utara. Bekasi. Jawa Barat 17534</t>
  </si>
  <si>
    <t>Pasuruan - Bangil</t>
  </si>
  <si>
    <t>Jl. Salem No. 99 rt/rw 06/01. Gempeng. Bangil. Kabupaten Pasuruan. Jawa Timur 67153</t>
  </si>
  <si>
    <t>Sigli - A Majid Ibrahim</t>
  </si>
  <si>
    <t>Jl A Majid Ibrahim No 1-2 A. Gampong Paya. Pidie. Pidie. Aceh 24164</t>
  </si>
  <si>
    <t>Bojonegoro - Padangan</t>
  </si>
  <si>
    <t>Jl Raya Kartini No 28. Kalangan. Padangan. Bojonegoro. Jawa Timur 62162</t>
  </si>
  <si>
    <t>Magelang - Muntilan</t>
  </si>
  <si>
    <t>Ruko Munsen Kav. B9 B9 &amp; B10, Jl. Tambakan. Tamanagung. Muntilan. Magelang. Jawa Tengah 56413</t>
  </si>
  <si>
    <t>Langkat - Stabat</t>
  </si>
  <si>
    <t>Jl. Proklamasi. Kwala Bingai. Stabat. Langkat. Sumatera Utara 20811</t>
  </si>
  <si>
    <t>Kroya - Jenderal Sudirman</t>
  </si>
  <si>
    <t>Jl Jenderal Sudirman No.72 RT 010/ RW 06. Kroya. Kroya. Cilacap. Jawa Tengah 53282</t>
  </si>
  <si>
    <t>Pasir Pengaraian - Tuanku Tambusai</t>
  </si>
  <si>
    <t>Jl. Tuanku Tambusai No 88 RT/RW : 001/006. Pematang Berangan. Rambah. Rokan Hulu. Riau 28560</t>
  </si>
  <si>
    <t>Sampit - D.I Panjaitan</t>
  </si>
  <si>
    <t>Jl. D.I Panjaitan no 28. Mentawa Baru Hulu. Mentawa hulu/Ketapang. Kotawaringin Timur. Kalimantan Tengah 74322</t>
  </si>
  <si>
    <t>Painan - Pagaruyung</t>
  </si>
  <si>
    <t>Jl. Pagaruyung I Utara. Painan Utara. IV Jurai. Pesisir Selatan. Sumatera Barat 25651</t>
  </si>
  <si>
    <t>Bangkalan - Soekarno Hatta</t>
  </si>
  <si>
    <t>Jl. Soekarno Hatta 18 001/003. Mlajah. Bangkalan. Kabupaten Bangkalan. Jawa Timur 69116</t>
  </si>
  <si>
    <t>Tanjung Balai - Jenderal Sudirman</t>
  </si>
  <si>
    <t>Jl. Jenderal Sudirman no. 51 A. Tanjung Balai Kota 1. Tanjung Balai Selatan. Tanjung Balai. Sumatera Utara 21311</t>
  </si>
  <si>
    <t>Meulaboh - Johan Pahlawan</t>
  </si>
  <si>
    <t>Jl. Manek Roo No 9. Drien Rampak. Johan Pahlawan. Aceh Barat. Aceh 23611</t>
  </si>
  <si>
    <t>Rembang - RA Kartini</t>
  </si>
  <si>
    <t>Jl. RA Kartini No. 14. Kutoharjo. Rembang. Rembang. Jawa Tengah 59215</t>
  </si>
  <si>
    <t>Takengon - Lebe Kader</t>
  </si>
  <si>
    <t>Jl. Lebe Kader. Blang Kolak I. Bebesen. Aceh Tengah. Aceh 24519</t>
  </si>
  <si>
    <t>Banjar - Didi Kartasasmita</t>
  </si>
  <si>
    <t>Jl. Mayjen Didi Kartasasmita No. 12 B 03/ 06. Banjar. Banjar. Jawa Barat 46311</t>
  </si>
  <si>
    <t>Kendari - Malaka Square</t>
  </si>
  <si>
    <t>JL. Malaka komplek ruko Square No.3. Andounohu. Poasia. Kendari. Sulawesi Tenggara 93231</t>
  </si>
  <si>
    <t>Gombong - Puring</t>
  </si>
  <si>
    <t>Jl. Puring RT 01/ RW 05. Wonokriyo. Gombong. Kebumen. Jawa Tengah 54411</t>
  </si>
  <si>
    <t>Badung - Kapal</t>
  </si>
  <si>
    <t>Jl. Raya Kapal No.38. Kapal. Mengwi. Badung. Bali 80351</t>
  </si>
  <si>
    <t>Pandan - Nauli</t>
  </si>
  <si>
    <t>Jl. Sibolga Padangsidempuan. Sibuluan Indah. Pandan. Kabupaten Tapanuli Tengah. Sumatra Utara 22611</t>
  </si>
  <si>
    <t>Raha - Gatot Subroto</t>
  </si>
  <si>
    <t>Jl. Gatot Subroto no. 10. Wamponiki. Katobu. Raha / Kabupaten Muna. Sulawesi Tenggara 93614</t>
  </si>
  <si>
    <t>Sidikalang - FL Tobing</t>
  </si>
  <si>
    <t>Jln. FL Tobing No.155. Batang Beruh. Sidikalang. Kabupaten Dairi. Sumatera Utara 22212</t>
  </si>
  <si>
    <t>Solok - Pandan</t>
  </si>
  <si>
    <t>Jl. Prof. Dr. Moh. Yamin SH No 83C RT/RW : 002/001. Ps. Pandan Air Mati. Tanjung Harapan. Kota Solok. Sumatera Barat 27317</t>
  </si>
  <si>
    <t>Jombang - Mojoagung</t>
  </si>
  <si>
    <t>Jl. Raya Gambiran No.92 RT/RW 003/002. Gambiran. Mojoagung. Jombang. Jawa Timur 61482</t>
  </si>
  <si>
    <t>Mojokerto - Letkol Sumarjo</t>
  </si>
  <si>
    <t>Jl. Letkol Sumarjo No. 55 RT/RW : 003/001. Purwotengah. Kranggan. Kota Mojokerto. Jawa Timur 61311</t>
  </si>
  <si>
    <t>Batang - Pemuda</t>
  </si>
  <si>
    <t>Jl. Pemuda No. 10. Kauman. Batang. Kabupaten Batang. Jawa Tengah 51216</t>
  </si>
  <si>
    <t>Madiun - Caruban</t>
  </si>
  <si>
    <t>Jl. Diponegoro 1 RT 09. RW.03. Bangunsari. Mejayan. Kabupaten Madiun. Jawa Timur 63153</t>
  </si>
  <si>
    <t>Brebes - Sultan Agung</t>
  </si>
  <si>
    <t>Jl. Sultan Agung RT/RW : 01/03. Kauman. Brebes. Kab. Brebes. Jawa Tengah 52212</t>
  </si>
  <si>
    <t>Pacitan - Baleharjo</t>
  </si>
  <si>
    <t>Jl. K. Umar no. 14 RT/RW 002/002. Baleharjo. Pacitan. Pacitan. Jawa Timur 63511</t>
  </si>
  <si>
    <t>Jakarta Selatan - Blok M</t>
  </si>
  <si>
    <t>Jl. Panglima Polim No.77A, RT.1/RW.7, Melawai, Kec. Kby. Baru, Kota Jakarta Selatan, Daerah Khusus Ibukota Jakarta 12160</t>
  </si>
  <si>
    <t>Cintya Kusuma Mahadhika
Masano Priya Hutama
Tiara Meilani Ritonga
Masano Priyahutama
Fachreza Aulia Trinanda</t>
  </si>
  <si>
    <t>Jakarta Utara - Kelapa Gading Plus</t>
  </si>
  <si>
    <t>Jl. Boulevard Artha Gading No.11 Blok B, RT.18/RW.8, West Kelapa Gading, Kelapa Gading, North Jakarta City</t>
  </si>
  <si>
    <t>Kelapa Gading</t>
  </si>
  <si>
    <t>- (Mulai Online dulu)
Az Zahra Andrien
note: dialihkan ke verbal full offline 9H
- (Proses hiring)
Maryo Khowijaya
Bagus Setiyo Aji
Aulia Rachmah
Az Zahra Andriend
Tiara Meilani Ritonga</t>
  </si>
  <si>
    <t>Jakarta Barat - Mall Taman Anggrek</t>
  </si>
  <si>
    <t>Jl. Letjen S. Parman No.Kav 21, RT.12/RW.1, Tj. Duren Sel., Kec. Grogol petamburan, Kota Jakarta Barat, Daerah Khusus Ibukota Jakarta 11470</t>
  </si>
  <si>
    <t>Karawang - Resinda Park Mall</t>
  </si>
  <si>
    <t>Resinda Park Mall, Jl. Resinda Raya No.2, Purwadana, Kec. Karawang Bar., Karawang, Jawa Barat 41361</t>
  </si>
  <si>
    <t>Cimahi - Amir Machmud Plus</t>
  </si>
  <si>
    <t>Jl. Amir Machmud RT 04 RW 02, Cimahi, Cimahi Tengah, Kota Cimahi, Jawa Barat, 40525</t>
  </si>
  <si>
    <t>Cianjur - Pangeran Hidayatullah</t>
  </si>
  <si>
    <t>Jl. Pangeran Hidayatullah No. 10 C, RT.02/RW.05, Sawah Gede, Kec, Kabupaten Cianjur, Jawa Barat 43212</t>
  </si>
  <si>
    <t>Solo - Letjen Sutoyo</t>
  </si>
  <si>
    <t>Jl. Letjen Sutoyo No 22A, Kel. Nusukan, Kec. Banjarsari, Surakarta, Jawa Tengah 57135</t>
  </si>
  <si>
    <t>Banjarmasin - Taman Kamboja</t>
  </si>
  <si>
    <t>Jl. Anang Adenansi No. 2 (sebelah Klinik Grand Eye) RT 001/RW 01 Kel. Teluk Dalam Kec. Banjarmasin Tengah Kota Banjarmasin Prov. Kalimantan Selatan 70231</t>
  </si>
  <si>
    <t>Cirebon - Dr. Cipto Mangunkusumo</t>
  </si>
  <si>
    <t>Jl DR Cipto Mk No 14 A RT 002 RW 006 Pekiringan Kesambi Kota Cirebon Jawa Barat 45131</t>
  </si>
  <si>
    <t>Pasangkayu - Ir. Soekarno</t>
  </si>
  <si>
    <t>Jl. Ir. Soekarno RT 00/RW 00 Kel. Pasangkayu Kec. Pasangkayu Kab. Pasangkayu Prov. Sulawesi Barat 91571</t>
  </si>
  <si>
    <t>Sukabumi - Cibadak</t>
  </si>
  <si>
    <t>Jl. Perintis Kemerdekaan No. 2 Ruko A RT 001/RW 024 Kel. Sekarwangi Kec. Cibadak Kab. Sukabumi Prov. Jawa Barat 43351</t>
  </si>
  <si>
    <t>Tangerang - Cipondoh</t>
  </si>
  <si>
    <t>Jl. KH Hasyim Ashari RT 003/RW 01 Kel. Poris Plawad Utara Kec. Cipondoh Kota Tangerang Prov. Banten 15141</t>
  </si>
  <si>
    <t>Yogyakarta - Kaliurang KM 10</t>
  </si>
  <si>
    <t>Jl. Kaliurang Km 10 Rejosari RT 07/RW 43 Kel. Sardonoharjo Kec. Ngaglik Kab. Sleman Prov. DI Yogyakarta 55581</t>
  </si>
  <si>
    <t>Tasikmalaya - Ciawi</t>
  </si>
  <si>
    <t>Jl. Pelita RT 004/RW 005 Kel. Pakemitan Kec. Ciawi Kab. Tasikmalaya Prov. Jawa Barat 46156</t>
  </si>
  <si>
    <t>English Academy</t>
  </si>
  <si>
    <t>Jl. Raya Kapal No.38, Kapal, Kec. Mengwi, Kabupaten Badung, Bali 80351</t>
  </si>
  <si>
    <t>Jl. Lintas Sumatera No.Km 6 Blok B72, Bahtera Makmur, Kec. Bagan Sinembah, Kabupaten Rokan Hilir, Riau 28992</t>
  </si>
  <si>
    <t>Balikpapan - Jendral Sudirman</t>
  </si>
  <si>
    <t>Komplek Ruko Bandar, Jl. Jenderal Sudirman Blok B No. 3 &amp; 33, Klandasan Ulu, Kec. Balikpapan Kota, Kota Balikpapan, Kalimantan Timur 76112</t>
  </si>
  <si>
    <t>Balikpapan - MT Haryono</t>
  </si>
  <si>
    <t>Jl. MT Haryono No.4 RT 60, Damai, Kec. Balikpapan Kota, Kota Balikpapan, Kalimantan Timur 76114</t>
  </si>
  <si>
    <t>Jl. Syiah Kuala No.11, RW.12, Banda Baru, Kec. Kuta Alam, Kota Banda Aceh, Aceh 23126</t>
  </si>
  <si>
    <t>Jl. Teuku Nyak Arief No.1, RW.2, Lamgugob, Kec. Syiah Kuala, Kota Banda Aceh, Aceh 23115</t>
  </si>
  <si>
    <t>Bandar Lampung - Gajah Mada</t>
  </si>
  <si>
    <t>Jl. Gajah Mada No.76E, Kota Baru, Kec. Tanjungkarang Timur, Kota Bandar Lampung, Lampung 35128</t>
  </si>
  <si>
    <t>Jl. Diponegoro No.129, Sumur Batu, Kec. Tlk. Betung Utara, Kota Bandar Lampung, Lampung 35214</t>
  </si>
  <si>
    <t>Jl. Terusan Jakarta No.30, Babakan Surabaya, Kec. Kiaracondong, Kota Bandung, Jawa Barat 40281</t>
  </si>
  <si>
    <t>Jl. Raya Banjaran Barat, RT.001/RW.011, Andir, Kec. Baleendah, Kabupaten Bandung, Jawa Barat 40375</t>
  </si>
  <si>
    <t>Jl. Buah Batu No.50, Cijagra, Kec. Lengkong, Kota Bandung, Jawa Barat 40262</t>
  </si>
  <si>
    <t>Jl. Terusan Kopo Ruko No.366 B, Margahayu Sel., Kec. Margahayu, Kabupaten Bandung, Jawa Barat 40226</t>
  </si>
  <si>
    <t>Metro Indah Mall, Komplek Metro Trade Centre, Jl. Soekarno-Hatta blok No.D25, Sekejati, Kec. Buahbatu, Kota Bandung, Jawa Barat 40286</t>
  </si>
  <si>
    <t>Jl. Abdul Rahman Saleh No.50, Husen Sastranegara, Kec. Cicendo, Kota Bandung, Jawa Barat 40174</t>
  </si>
  <si>
    <t>Jl. Dr. Setiabudi.146a, RT.000/RW00, Hegarmanah, Kec. Cidadap, Hegarmanah, Kota, Kota Bandung, Jawa Barat 40141</t>
  </si>
  <si>
    <t>Jl. Mayjen Didi Kartasasmita, Banjar, Kec. Banjar, Kota Banjar, Jawa Barat 46311</t>
  </si>
  <si>
    <t>Jl. A. Yani No.KM 32, RW.5, Guntung Payung, Kec. Landasan Ulin, Kota Banjar Baru, Kalimantan Selatan 70721</t>
  </si>
  <si>
    <t>Jl. Gatot Subroto No.41, Kebun Bunga, Kec. Banjarmasin Tim., Kota Banjarmasin, Kalimantan Selatan 70235</t>
  </si>
  <si>
    <t>Jl. Brigjend H. Hasan Basri No.1, Pangeran, Kec. Banjarmasin Utara, Kota Banjarmasin, Kalimantan Selatan 70124</t>
  </si>
  <si>
    <t>sebelah Klinik Grand Eye, Jl. Anang Adenansi No.2, RT.001/RW.01, Tlk. Dalam, Kec. Banjarmasin Tengah, Kota Banjarmasin, Kalimantan Selatan 70124</t>
  </si>
  <si>
    <t>Jl. Brawijaya, Lingkungan Jl. Watu Ulo No.35A, Lingkungan Watu Ulo R, Mojopanggung, Kec. Giri, Kabupaten Banyuwangi, Jawa Timur 68417</t>
  </si>
  <si>
    <t>Kec, Graphika Commercial Park, Jl. Bakal No.3 Blok A, Taman Baloi, Kec. Batam Kota, Kota Batam, Kepulauan Riau 29444</t>
  </si>
  <si>
    <t>Jl. Agus Salim No.141, Temas, Kec. Batu, Kota Batu, Jawa Timur 65315</t>
  </si>
  <si>
    <t>Jl. Batara Guru No.70, Nganganaumala, Kec. Batu Poaro, Kota Bau-Bau, Sulawesi Tenggara 93717</t>
  </si>
  <si>
    <t>Jl. Puri Bintara Regency No.Blok S, RT.020/RW.002, Bintara, Kec. Bekasi Bar., Kota Bks, Jawa Barat 17134</t>
  </si>
  <si>
    <t>RT.001/RW.003, Jatikarya, Jatisampurna, Bekasi, West Java 17435</t>
  </si>
  <si>
    <t>Jalan Pulo Ribung Raya, Blok AR.1 No.7, RT.001/RW.019, Jaka Setia, Kec. Bekasi Sel., Kota Bks, Jawa Barat 17147</t>
  </si>
  <si>
    <t>Bekasi - Grand Wisata</t>
  </si>
  <si>
    <t>Jl. Celebration Boulevard Jl. Grand Wisata No.23 Ruko AA-10 No.22, Lambangsari, Kec. Tambun Sel., Kabupaten Bekasi, Jawa Barat 17510</t>
  </si>
  <si>
    <t>Jl. Boulevard Hijau Raya Blok B6 No 20, RT.007/RW.009, Pejuang, Kecamatan Medan Satria, Kota Bks, Jawa Barat 17131</t>
  </si>
  <si>
    <t>Jl. Raya Jatiasih Ruko, RT.010/RW.003, Jatirasa, Kec. Jatiasih, Kota Bks, Jawa Barat 17423</t>
  </si>
  <si>
    <t>Summarecon, Jl. Bulevar Selatan No.07 Blok UA7, RT.004/RW.011, Marga Mulya, Bekasi Utara, Bekasi, West Java 17142</t>
  </si>
  <si>
    <t>Komplek Ruko Tambun City, Jl. Sultan Hasanudin No.263 265, RW.Keluarahan, Tambun, Kec. Tambun Sel., Kabupaten Bekasi, Jawa Barat 17510</t>
  </si>
  <si>
    <t>Jl. Ir. Sukarno No.RT.02, Kali, Kec. Arga Makmur, Kabupaten Bengkulu Utara, Bengkulu 38611</t>
  </si>
  <si>
    <t>Jl. Jenderal Ahmad Yani No.46, RT.06, Ibul, Kec. Kota Manna, Kabupaten Bengkulu Selatan, Bengkulu 38511</t>
  </si>
  <si>
    <t>Jl. S. Parman 6 No.94, Padang Jati, Kec. Ratu Samban, Kota Bengkulu, Bengkulu 38223</t>
  </si>
  <si>
    <t>Berau - Durian</t>
  </si>
  <si>
    <t>Jl. Durian III No.060, RT.013, Tj. Redeb, Kec. Tj. Redeb, Kabupaten Berau, Kalimantan Timur 77311, Tj. Redeb, Kec. Tj. Redeb, Kabupaten Berau, Kalimantan Timur 77315</t>
  </si>
  <si>
    <t>l. Gajah Mada No.98, RT./ Rw:/RW.05, 03, Kec. Mpunda, Kab. Bima, Nusa, Tenggara Bar. 84111, Penatoi, Kec. Mpunda, Kab. Bima, Nusa Tenggara Bar. 84111</t>
  </si>
  <si>
    <t>Jl. Wolter Monginsidi, RT.003/RW.03, Wangurer Bar., Kec. Girian, Kota Bitung, Sulawesi Utara 95543</t>
  </si>
  <si>
    <t>Jl. Kalimantan No.18 A &amp; 18 B, Sananwetan, Kec. Sananwetan, Kota Blitar, Jawa Timur 66133</t>
  </si>
  <si>
    <t>Bogor - Air Mancur</t>
  </si>
  <si>
    <t>Jl. Jend. Sudirman No.52, RT.01/RW.03, Sempur, Kecamatan Bogor Tengah, Kota Bogor, Jawa Barat 16129</t>
  </si>
  <si>
    <t>Jl. Raya Kota Wisata Ruko Oregon No.TCR 31, Ciangsana, Kec. Gn. Putri, Kabupaten Bogor, Jawa Barat 16968</t>
  </si>
  <si>
    <t>Ruko, Jl. Kota Taman Metropolitan PTM 1 No.17B, Cileungsi, Kec. Cileungsi, Kabupaten Bogor, Jawa Barat 16820</t>
  </si>
  <si>
    <t>Jl. Diponegoro, RT./RW/RW.25/05, Kotakulon, Kec. Bondowoso, Kabupaten Bondowoso, Jawa Timur 68213</t>
  </si>
  <si>
    <t>Jl. Jend. Ahmad Yani, Jeppee, Kec. Tanete Riattang Bar., Kabupaten Bone, Sulawesi Selatan 92732</t>
  </si>
  <si>
    <t>Jl. Merdeka Timur, Wonosari, Kemiri, Kec. Mojosongo, Kabupaten Boyolali, Jawa Tengah 57482</t>
  </si>
  <si>
    <t>Jl. Sultan Agung No.1, Kaumanpulo, Brebes, Kec. Brebes, Kabupaten Brebes, Jawa Tengah 52212</t>
  </si>
  <si>
    <t>Pertokoan Panama Petak Jl. Raya Kapas Panji No.4, Taluak Ampek Suku, Kec. Banuhampu, Kabupaten Agam, Sumatera Barat 26181</t>
  </si>
  <si>
    <t>Jl. Jend Sudirman, Terang-Terang, Kec. Ujung Bulu, Kabupaten Bulukumba, Sulawesi Selatan 92510</t>
  </si>
  <si>
    <t>Cibinong - Tegar Beriman</t>
  </si>
  <si>
    <t>Cibinong City Centre, Komplek Jl. Tegar Beriman No.3B Blok B, Pakansari, Cibinong, Bogor Regency, West Java 16911</t>
  </si>
  <si>
    <t>Ruko Cikarang Central City, CIFEST, Jl. Raya Cikarang - Cibarusah No.22 Blk F, Sukadami, Cikarang Sel., Kabupaten Bekasi, Jawa Barat 17530</t>
  </si>
  <si>
    <t>Jl. S. Parman No.10D, Cilacap, Sidanegara, Kec. Cilacap Tengah, Kabupaten Cilacap, Jawa Tengah 53223</t>
  </si>
  <si>
    <t>Business Square, Jl. Pondok Cilegon Indah Blok A-15, Kedaleman, Kec. Cibeber, Kota Cilegon, Banten 42422</t>
  </si>
  <si>
    <t>Cimahi - Amir Machmud</t>
  </si>
  <si>
    <t>Jl. Jend. H. Amir Machmud No.268B, Cimahi, Kec. Cimahi Tengah, Kota Cimahi, Jawa Barat 40525</t>
  </si>
  <si>
    <t>Ruko CSB Mall Office Park, Jl. DR. Cipto Mangunkusumo No.26, Pekiringan, Kec. Kesambi, Kota Cirebon, Jawa Barat 45131</t>
  </si>
  <si>
    <t>Jl. Mahendradatta No.A5, Padangsambian, Kec. Denpasar Bar., Kota Denpasar, Bali 80119</t>
  </si>
  <si>
    <t>Denpasar - Renon</t>
  </si>
  <si>
    <t>Jl. Raya Puputan No.64D, Dangin Puri Klod, Kec. Denpasar Tim., Kota Denpasar, Bali 80234</t>
  </si>
  <si>
    <t>Jl. Cinere Raya, Cinere, Kec. Cinere, Kota Depok, Jawa Barat 16514</t>
  </si>
  <si>
    <t>Depok - Margonda</t>
  </si>
  <si>
    <t>Jl. Margonda No.341, Kemiri Muka, Kecamatan Beji, Kota Depok, Jawa Barat 16424</t>
  </si>
  <si>
    <t>Jl. Raya Muchtar No.83, Sawangan Baru, Kec. Sawangan, Kota Depok, Jawa Barat 16511</t>
  </si>
  <si>
    <t>Jl. Proklamasi, Mekar Jaya, Kec. Sukmajaya, Kota Depok, Jawa Barat 16411</t>
  </si>
  <si>
    <t>Dumai - Jendral Sudirman</t>
  </si>
  <si>
    <t>Jalan Jendral Sudirman, 391. Kel. Dumai Timur, Bintan, Kec. Dumai Kota, Kota Dumai, Riau 28822</t>
  </si>
  <si>
    <t>Jl. Hangtuah Jl. Akasia, Duri Bar., Kec. Mandau, Kabupaten Bengkalis, Riau 28783</t>
  </si>
  <si>
    <t>Komplek Pertokoan Garut Hyper Square, Kompleks Ruko Anarto Pinngir Wahdana, Jl. Perintis Kemerdekaan No.Kav A1, Haurpanggung, Kec. Tarogong Kidul, Kabupaten Garut, Jawa Barat 44151</t>
  </si>
  <si>
    <t>Jl. Dharma Giri, Bitera, Kec. Gianyar, Kabupaten Gianyar, Bali 80515</t>
  </si>
  <si>
    <t>Jl. Puring - Gombong, RT.01/RW.05, Wonokriyo, Kec. Gombong, Kabupaten Kebumen, Jawa Tengah 54411</t>
  </si>
  <si>
    <t>Samping BCA Finance, Jl. Nani Wartabone, Limba U I, Kota Sel., Kota, Limba U I, Kota Sel., Kota Selatan, Gorontalo 96115</t>
  </si>
  <si>
    <t>Ruko Yasmin Square, Jl. Tumanurung Raya, Kalegowa, Kec. Somba Opu, Kabupaten Gowa, Sulawesi Selatan 92111</t>
  </si>
  <si>
    <t>Jl. Usman Sadar No.147, Ngipik, Karangpoh, Kec. Gresik, Kabupaten Gresik, Jawa Timur 61116</t>
  </si>
  <si>
    <t>Jl. Jend. Sudirman No.176 02, RW.11, Lemahmekar, Kec. Indramayu, Kabupaten Indramayu, Jawa Barat 45212</t>
  </si>
  <si>
    <t>Jl. Raya Kresek No.9A, RT.9/RW.13, Duri Kosambi, Cengkareng, West Jakarta City, Jakarta 11750</t>
  </si>
  <si>
    <t>Jl. Citra Garden City 6 No.11-12 Blok H RT.10/RW.511A, RT.10, RT.2/RW.5, Tegal, Alur, Kec. Kalideres, Kota Jakarta Barat, Daerah Khusus Ibukota Jakarta 11810</t>
  </si>
  <si>
    <t>Mall Taman Anggrek Lt L3, Letjen S. Parman St.Kav 21, RT.12/RW.1, South Tanjung Duren, RT.12/RW.1, petamburan, Kec. Grogol petamburan, Kota Jakarta Barat, Daerah Khusus Ibukota Jakarta 11470</t>
  </si>
  <si>
    <t>Jakarta Barat - Puri Indah</t>
  </si>
  <si>
    <t>Jl. Pesanggrahan, RT.2/RW.6, Kembangan Sel., Kec. Kembangan, Kota Jakarta Barat, Daerah Khusus Ibukota Jakarta 11620</t>
  </si>
  <si>
    <t>Jl. Cempaka Putih Tengah II No.8, RT.11/RW.5, Cemp. Putih Tim., Kec. Cemp. Putih, Kota Jakarta Pusat, Daerah Khusus Ibukota Jakarta 10510</t>
  </si>
  <si>
    <t>Jl. RS. Fatmawati Raya No.24 A, RT.1/RW.10, Cilandak Bar., Kec. Cilandak, Kota Jakarta Selatan, Daerah Khusus Ibukota Jakarta 12430</t>
  </si>
  <si>
    <t>Jl. Moh. Kahfi 1, RT.4/RW.2, Cipedak, Kec. Jagakarsa, Kota Jakarta Selatan, Daerah Khusus Ibukota Jakarta 12630</t>
  </si>
  <si>
    <t>Jl. Kebayoran Baru No.4, RT.6/RW.2, Gunung, Kec. Kby. Baru, Kota Jakarta Selatan, Daerah Khusus Ibukota Jakarta 12120</t>
  </si>
  <si>
    <t>Jl. Warung Buncit Raya Kecamatan No.4B, RT.003/RW.5, Kalibata, Kec. Pancoran, Kota Jakarta Selatan, Daerah Khusus Ibukota Jakarta 12740</t>
  </si>
  <si>
    <t>Jl. Ciledug Raya No.5, RT.4/RW.3, Petukangan Sel, RT.4/RW.3, Kota, Kec. Pesanggrahan, Kota Jakarta Selatan, Daerah Khusus Ibukota Jakarta 12270</t>
  </si>
  <si>
    <t>Jl. Tebet Raya No.43b, RT.2/RW.2, Tebet Tim., Kec. Tebet, Kota Jakarta Selatan, Daerah Khusus Ibukota Jakarta 12820</t>
  </si>
  <si>
    <t>Komplek Ruko 64, Jl. Lap. Tembak Cibubur No.64, RT.3/RW.2, Cibubur, Kec. Ciracas, Kota Jakarta Timur, Daerah Khusus Ibukota Jakarta 13720</t>
  </si>
  <si>
    <t>Jl. Raya Condet No.225, RT.11/RW.3, Batu Ampar, Kec. Kramat jati, Kota Jakarta Timur, Daerah Khusus Ibukota Jakarta 13520</t>
  </si>
  <si>
    <t>Jl. Radin Inten II No.66a, RT.1/RW.7, Duren Sawit, Kec. Duren Sawit, Kota Jakarta Timur, Daerah Khusus Ibukota Jakarta 13440</t>
  </si>
  <si>
    <t>Jl. Paus No 10 Lantai 3, RT.1/RW.7, Rawamangun, RT.1/RW.7, Kota, Kec. Pulo Gadung, Kota Jakarta Timur, Daerah Khusus Ibukota Jakarta 13220</t>
  </si>
  <si>
    <t>Jakarta Utara - Kelapa Gading</t>
  </si>
  <si>
    <t>Jl. Boulevard Artha Gading No.11 Blok B, RT.18/RW.8, West Kelapa Gading, Kelapa Gading, North Jakarta City, Jakarta 14240</t>
  </si>
  <si>
    <t>Jakarta Utara - PIK</t>
  </si>
  <si>
    <t>Ruko Eksekutif, Bukit Golf Mediterania Jl. Marina Raya No.7, RT.7/RW.2, Kamal Muara, Kecamatan Penjaringan, Jkt Utara, Daerah Khusus Ibukota Jakarta 14470</t>
  </si>
  <si>
    <t>Komplek, Jl. Komp. Puri Deltamas Jl. Bandengan Sel.43 Blok J. 6, RT.2/RW.1, North, Kecamatan Penjaringan, Jkt Utara, Daerah Khusus Ibukota Jakarta 14450</t>
  </si>
  <si>
    <t>Jl. Danau Sunter Utara.9C Blok D-1 No, RT.5/RW.18, Sunter Agung, Kec. Tj. Priok, Jkt Utara, RT.5/RW.18, Sunter Agung, Kec. Tj. Priok, Sunter, Daerah Khusus Ibukota Jakarta 14350</t>
  </si>
  <si>
    <t>Jl. Diponegoro, Pasir Putih, Kec. Rimbo Tengah, Kabupaten Bungo, Jambi 37215</t>
  </si>
  <si>
    <t>Jl. Jend. Sudirman No.27, RW.28, Tambak Sari, Kec. Jambi Sel., Kota Jambi, Jambi 36122</t>
  </si>
  <si>
    <t>Jl. Raya Abepura - Sentani, Padang Bulan, Heram, Berhadapan dengan Supermarket Holamart Padang Bulan, Hedam, Kec. Abepura, Kota Jayapura, Papua 99351</t>
  </si>
  <si>
    <t>Jl. Sumatra Ruko No.75 D, Tegal Boto Lor, Sumbersari, Kec. Sumbersari, Kabupaten Jember, Jawa Timur 68121</t>
  </si>
  <si>
    <t>Jl. Pemuda No.66, Panggang V, Panggang, Kec. Jepara, Kabupaten Jepara, Jawa Tengah 59412</t>
  </si>
  <si>
    <t>Jalan Citarum No 1. Donomulyo, RT.01/RW.04, Manggeh, Tegalgede, Kec. Karanganyar, Kabupaten Karanganyar, Jawa Tengah 57714</t>
  </si>
  <si>
    <t>Resinda Park Mall, Jl. Resinda Raya No.2 Lt basement, Purwadana, Kec. Karawang Bar., Karawang, Jawa Barat 41361</t>
  </si>
  <si>
    <t>Ruko Hasanudin Business Center Blok E No.21, Dandangan, Kec. Kota, Kota Kediri, Jawa Timur 64129</t>
  </si>
  <si>
    <t>Jl. Drs. H. Abdullah Silondae, Korumba, Kec. Mandonga, Kota Kendari, Sulawesi Tenggara 93111</t>
  </si>
  <si>
    <t>Jl. R. Suprapto, RT.024/RW.08, Tengah, Kec. Delta Pawan, Kabupaten Ketapang, Kalimantan Barat 78813</t>
  </si>
  <si>
    <t>Jl. Dr. Wahidin No.67, Tegal Sari, Kisaran Kota, Kec. Kota Kisaran Barat, Kabupaten Asahan, Sumatera Utara 21211</t>
  </si>
  <si>
    <t>Jl. Pramuka, Lamokato, Kec. Kolaka, Kabupaten Kolaka, Sulawesi Tenggara 93511</t>
  </si>
  <si>
    <t>Jl. Jend. Sudirman No.470, Salam Kidul, Dersalam, Kec. Bae, Kabupaten Kudus, Jawa Tengah 59321</t>
  </si>
  <si>
    <t>Jl. Frans Seda No.16, Fatululi, Kec. Oebobo, Kota Kupang, Nusa Tenggara Tim. 85111</t>
  </si>
  <si>
    <t>Jl. Proklamasi, Kwala Bingai, Kec. Stabat, Kabupaten Langkat, Sumatera Utara 20811</t>
  </si>
  <si>
    <t>Jl. Pangeran Diponegoro No.54, Cacaban, Kec. Magelang Tengah, Kota Magelang, Jawa Tengah 56121</t>
  </si>
  <si>
    <t>Kompleks Ruko Munsen, Jl. Tambakan No.10 Blok B9, Karangwatu, Sedayu, Kec. Muntilan, Kabupaten Magelang, Jawa Tengah 56413</t>
  </si>
  <si>
    <t>Jl. Bukit Baruga Raya, Antang, Kec. Manggala, Kota Makassar, Sulawesi Selatan 90234</t>
  </si>
  <si>
    <t>Jl. Opu Daeng Risadju No.12, Kunjung Mae, Kec. Mariso, Kota Makassar, Sulawesi Selatan 98255</t>
  </si>
  <si>
    <t>Jl. Letjen Hertasning No.88D, Tidung, Kec. Rappocini, Kota Makassar, Sulawesi Selatan 90222</t>
  </si>
  <si>
    <t>Jalan Perintis Kemerdekaan No.11, Ruko No.237, Pai, Kec. Biringkanaya, Kota Makassar, Sulawesi Selatan 90552</t>
  </si>
  <si>
    <t>Malang - Dieng</t>
  </si>
  <si>
    <t>Jl. Dieng No.3, Bareng, Kec. Klojen, Kota Malang, Jawa Timur 65115</t>
  </si>
  <si>
    <t>Jl. Bandung No.14, Penanggungan, Kec. Klojen, Kota Malang, Jawa Timur 65111</t>
  </si>
  <si>
    <t>Samping ATM BNI, Jl. Sultan Hasanuddin, Binanga, Kec. Mamuju, Kabupaten Mamuju, Sulawesi Barat 91552</t>
  </si>
  <si>
    <t>Jl. Sam Ratulangi No.88, Wenang Sel., Kec. Wenang, Kota Manado, Sulawesi Utara 95115</t>
  </si>
  <si>
    <t>Jl. Pendidikan No.60, Dasan Agung Baru, Kec. Selaparang, Kota Mataram, Nusa Tenggara Bar. 83126</t>
  </si>
  <si>
    <t>Medan - Iskandar Muda</t>
  </si>
  <si>
    <t>Jl. Iskandar Muda No.25-26l, Darat, Kec. Medan Baru, Kota Medan, Sumatera, Utara 20154, Darat, Kec. Medan Baru, Kota Medan, Sumatera Utara 20154</t>
  </si>
  <si>
    <t>Jl. J City.RT.00, Ruko No.D 37, Pangkalan Masyhur, Kec. Medan Johor, Kota Medan, Sumatera Utara 20146</t>
  </si>
  <si>
    <t>Jl. Jendral Sudirman, Imopuro, Kec. Metro Pusat, Kota Metro, Lampung 34111</t>
  </si>
  <si>
    <t>Jl. Jenderal Sudirman No.72, RT.02/RW.02, Ps. III Muara Enim, Kec. Muara Enim, Kabupaten Muara Enim, Sumatera Selatan 31313</t>
  </si>
  <si>
    <t>Jl. S. Parman No.145, Ulak Karang Sel., Kec. Padang Utara, Kota Padang, Sumatera Barat 25134</t>
  </si>
  <si>
    <t>Jl. Proklamasi No.48, Sawahan, Kec. Padang Tim., Kota Padang, Sumatera Barat 25133</t>
  </si>
  <si>
    <t>Jl. Pagaruyung I Pagaruyung, Jl. Rawang, Painan, Kec. Iv Jurai, Kabupaten Pesisir Selatan, Sumatera Barat 25651</t>
  </si>
  <si>
    <t>Palangkaraya - Ahmad Yani</t>
  </si>
  <si>
    <t>Jl. Ahmad Yani No.9B, RT/RW:001/003, Langkai, Kec. Pahandut, Kota Palangka Raya, Kalimantan Tengah 73111</t>
  </si>
  <si>
    <t>Jl. MP. Mangkunegara K No.432, Bukit Sangkal, Kec. Kalidoni, Kota Palembang, Sumatera Selatan 30114</t>
  </si>
  <si>
    <t>Palembang - Rajawali</t>
  </si>
  <si>
    <t>Jl. Rajawali No.1174D, 9 Ilir, Kec. Ilir Tim. II, Kota Palembang, Sumatera Selatan 30126</t>
  </si>
  <si>
    <t>Jl. Andi Kambo, Surutanga, Kec. Wara Tim., Kota Palopo, Sulawesi Selatan 91921</t>
  </si>
  <si>
    <t>North Lolu, Palu Selatan, Palu City, Central Sulawesi 94111</t>
  </si>
  <si>
    <t>Jl. Depati Hamzah No.3, Semabung Lama, Kec. Bukitintan, Kota Pangkal Pinang, Kepulauan Bangka Belitung 33174</t>
  </si>
  <si>
    <t>Jl. Pakunegara No.1, Raja, Kec. Arut Sel., Kabupaten Kotawaringin Barat, Kalimantan Tengah 74112</t>
  </si>
  <si>
    <t>Jl. Maharaja Indra, RT.1/RW.1, Pangkalan Kerinci Kota, Kec. Pangkalan Kerinci, Kabupaten Pelalawan, Riau 28664</t>
  </si>
  <si>
    <t>Jl. Hasanuddin, Palampang, Kec. Pangkajene, Kabupaten Pangkajene Dan Kepulauan, Sulawesi Selatan 90614</t>
  </si>
  <si>
    <t>Pati - Jend. Sudirman</t>
  </si>
  <si>
    <t>Jl. Jenderal Sudirman No.90, Pati Kidul, Kec. Pati, Kabupaten Pati, Jawa Tengah 59114</t>
  </si>
  <si>
    <t>Jl. Ade Irma Suryani, Labuh Baru, Kec. Payakumbuh Utara, Kota Payakumbuh, Sumatera Barat 26213</t>
  </si>
  <si>
    <t>Jl. Diponegoro No.43, RT.001/RW.3, Dukuh, Kec. Pekalongan Utara, Kota Pekalongan, Jawa Tengah 51146</t>
  </si>
  <si>
    <t>Pekanbaru - Ahmad Yani</t>
  </si>
  <si>
    <t>Jl. Jend. Ahmad Yani No.109, Kota Baru, Pekanbaru Kota, Kota Pekanbaru, Riau 28114</t>
  </si>
  <si>
    <t>Jl. H.R Soebrantas KM 10.5 No. 2, RT.4/RW.12, Kel. Tobekgodang, Kec. Tampan, Kota Pekanbaru, Riau 28294</t>
  </si>
  <si>
    <t>Jl. Sutomo No.8, Pahlawan, Kec. Siantar Tim., Kota Pematang Siantar, Sumatera Utara 21132</t>
  </si>
  <si>
    <t>Jl. Jenderal Sudirman, Jaya, Kec. Watang Sawitto, Kabupaten Pinrang, Sulawesi Selatan 91212</t>
  </si>
  <si>
    <t>Pontianak - Ayani Megamal</t>
  </si>
  <si>
    <t>Komplek Ayani Megamal, Jl. Jenderal Ahmad Yani No. B5, Parit Tokaya, Kec. Pontianak Tenggara, Kota Pontianak, Kalimantan Barat 78117</t>
  </si>
  <si>
    <t>English Academy Wahid Hasyim, Jl. Khw. Hasyim No.122, Tengah, Kec. Pontianak Kota, Kota Pontianak, Kalimantan Barat 78111</t>
  </si>
  <si>
    <t>Jl. Padat Karya No.7 D-E, Muara Dua, Kec. Prabumulih Tim., Kota Prabumulih, Sumatera Selatan 31113</t>
  </si>
  <si>
    <t>Jalan Jendral Sudirman CE-C4, Kelurahan Prapern, Kec. Praya, Kabupaten Lombok Tengah, Nusa Tenggara Bar. 83519</t>
  </si>
  <si>
    <t>Jl. Ahmad Yani No.31, Pringsewu Utara, Kec. Pringsewu, Kabupaten Pringsewu, Lampung 35373</t>
  </si>
  <si>
    <t>Jl. Slamet Riyadi No.3, Kanigaran, Kec. Kanigaran, Kota Probolinggo, Jawa Timur 67213</t>
  </si>
  <si>
    <t>Purwakarta - Suradireja</t>
  </si>
  <si>
    <t>Jl. Suradireja No.22-28, RT.50/RW.06, Nagri Kaler, Kec. Purwakarta, Kabupaten Purwakarta, Jawa Barat 41115</t>
  </si>
  <si>
    <t>Jl. Teuku Umar, Kuta Barat, Sukakarya, Kota Sabang, Aceh 23512</t>
  </si>
  <si>
    <t>Jl. Moh. Yamin No.7, Salatiga, Kec. Sidorejo, Kota Salatiga, Jawa Tengah 50711</t>
  </si>
  <si>
    <t>Ruko Permata Kaltim, Jl. Pahlawan No.5, Dadi Mulya, Kec. Samarinda Ulu, Kota Samarinda, Kalimantan Timur 75117, Dadi Mulya, Kec. Samarinda Ulu, Kota Samarinda, Kalimantan Timur 75242</t>
  </si>
  <si>
    <t>Jl. KH Ahmad Dahlan No.32, Pancor, Kec. Selong, Kabupaten Lombok Timur, Nusa Tenggara Bar. 83611</t>
  </si>
  <si>
    <t>Ruko Taman Setiabudi, Jl. Sukun Raya Depan Gerbang Perumahan Setiabudi No.11, RW.No.10, Srondol Wetan, Kec. Banyumanik, Kota Semarang, Jawa Tengah 50264</t>
  </si>
  <si>
    <t>Jl. Kedungmundu No.18, Kedungmundu, Kec. Tembalang, Kota Semarang, Jawa Tengah 50272</t>
  </si>
  <si>
    <t>Jl. Pandanaran No.99a, Mugassari, Kec. Semarang Sel., Kota Semarang, Jawa Tengah 50249</t>
  </si>
  <si>
    <t>VC83+M7W, Jl. Yos Sudarso, Sembungan, Ungaran, Kec. Ungaran Bar., Kabupaten Semarang, Jawa Tengah 50511</t>
  </si>
  <si>
    <t>Serang - Ahmad Yani</t>
  </si>
  <si>
    <t>Jl. Jenderal Ahmad Yani Serang No.165, Sumurpecung, Kec. Serang, Sumurpecung, Kota, Kota Serang, Banten 42117</t>
  </si>
  <si>
    <t>Sidoarjo - Pondok Mutiara</t>
  </si>
  <si>
    <t>Ruko Pondok Mutiara Indah, Jl. Pahlawan Blok N-03, Jati, Lemahputro, Kec. Sidoarjo, Kabupaten Sidoarjo, Jawa Timur 61213</t>
  </si>
  <si>
    <t>Jl. Trunojoyo No.7, Sidoklumpuk, Sidokumpul, Kec. Sidoarjo, Kabupaten Sidoarjo, Jawa Timur 61218</t>
  </si>
  <si>
    <t>Jl. A. Yani No.17, Kp. Anyar, Singaraja, Kabupaten Buleleng, Bali 81114</t>
  </si>
  <si>
    <t>Jl. Nasional 14, Temulawak, Triharjo, Kec. Sleman, Kabupaten Sleman, Daerah, Istimewa Yogyakarta, Temulawak, Triharjo, Kec. Sleman, Kabupaten Sleman, Daerah Istimewa Yogyakarta 55515</t>
  </si>
  <si>
    <t>Solo - Solo Baru</t>
  </si>
  <si>
    <t>Jl Ir Soekarno , Dusun 1, &amp; A04 Ruko No : GR-A03, Dusun I, Madegondo, Kec. Grogol, Kabupaten Sukoharjo, Jawa Tengah 57522</t>
  </si>
  <si>
    <t>Jl. Kemakmuran No.173, Lemba, Kec. Lalabata, Kabupaten Soppeng, Sulawesi Selatan 90811</t>
  </si>
  <si>
    <t>Jl. Pramuka, Remu Utara, Distrik Sorong, Kota Sorong, Papua Barat 98416</t>
  </si>
  <si>
    <t>Jl. Sukowati No.346, RT.002/RW005/RW.Mageru, Magero, Sragen Tengah, Kec. Sragen, Kabupaten Sragen, Jawa Tengah 57211</t>
  </si>
  <si>
    <t>Ruko.2, Jl. Sudirman No.75, Gunungparang, Kec. Cikole, Kota Sukabumi, Jawa Barat 43111</t>
  </si>
  <si>
    <t>Jl. Veteran Barat, Kutorejo, Jetis, Kec. Sukoharjo, Kabupaten Sukoharjo, Jawa Tengah 57511</t>
  </si>
  <si>
    <t>Jl. Prabu Geusan Ulun No.111, Kotakulon, Kec. Sumedang Sel., Kabupaten Sumedang, Jawa Barat 45311</t>
  </si>
  <si>
    <t>Jl. Raya Jemursari No.15, Jemur Wonosari, Kec. Wonocolo, Surabaya, Jawa Timur 60239</t>
  </si>
  <si>
    <t>Jl. Kusuma Bangsa No.74, Ketabang, Kec. Genteng, Surabaya, Jawa Timur 60272</t>
  </si>
  <si>
    <t>Surabaya - MERR</t>
  </si>
  <si>
    <t>Jl. Dr. Ir. H. Soekarno No.392, Kedung Baruk, Kec. Rungkut, Surabaya, Jawa Timur 60298</t>
  </si>
  <si>
    <t>Ruko Taman Pd. Indah, A 13, Wiyung, Kec. Wiyung, Surabaya, Jawa Timur 60228</t>
  </si>
  <si>
    <t>Jl. Dr. Ir. Soekarno No.100X, Gubug, Kec. Tabanan, Kabupaten Tabanan, Bali 82115</t>
  </si>
  <si>
    <t>Jl. Tritura, Kamali Pentalluan, Kec. Makale, Kabupaten Tana Toraja, Sulawesi Selatan 91811</t>
  </si>
  <si>
    <t>Ruko green sevila Blok V.01 Nomor 255-257, Kabupaten, Kec. Panongan, Kabupaten Tangerang, Banten 15711</t>
  </si>
  <si>
    <t>Ruko Business Park Tangcity Blok A No 16, RT.005/RW.005, Babakan, Kec. Tangerang, Kota Tangerang, Banten 15118</t>
  </si>
  <si>
    <t>Ruko Paramount 7CS Blok DF1, Jl. Boulevard Raya Gading Serpong No.12 &amp; 15, Curug Sangereng, Kecamatan Kelapa Dua, Kabupaten Tangerang, Banten 15810</t>
  </si>
  <si>
    <t>Jl. Karet Raya No.28 A-B, RT.01/RW.011, Cibodasari, Kec. Cibodas, Kota Tangerang, Banten 15138</t>
  </si>
  <si>
    <t>Ruko Graha Marcella no. 1, Jl. Bintaro Utama 3A No.Kelurahan Sektor 3A, Pondok, Karya, Kec. Pd. Aren, Kota Tangerang Selatan, Banten 15225</t>
  </si>
  <si>
    <t>Tangerang Selatan - BSD Golden Boulevard</t>
  </si>
  <si>
    <t>BSD City, Kompleks Golden Boulevard, Jl. Pahlawan Seribu Blok B No.7 Lengkong Karya, Utama, Kec. Serpong, Kota Tangerang Selatan, Banten 15310</t>
  </si>
  <si>
    <t>Komplek, Ruko Golden Madrid, Jl. Letnan Sutopo No.A-06, Rw. Buntu, Kec. Serpong, Kota Tangerang Selatan, Banten 15310</t>
  </si>
  <si>
    <t>Tangerang Selatan - Graha Raya</t>
  </si>
  <si>
    <t>Graha Raya Bintaro Jaya, Jl. Boulevard Graha Raya Cluster Bougenville No.19 blok N1, loka, Kec. Serpong Utara, Kota Tangerang Selatan, Banten 15326</t>
  </si>
  <si>
    <t>Ruko Plaza Angkasa, Jl. Dr. Setiabudi, RT.⁠RT/RW/RW.01/04, Pamulang Bar., Kec. Pamulang, Kota Tangerang Selatan, Banten 15417</t>
  </si>
  <si>
    <t>Tangerang Selatan - The Icon</t>
  </si>
  <si>
    <t>Ruko The Icon, Jl. Raya Cisauk Lapan Blk H3a, Sampora, Kec. Cisauk, Kabupaten Tangerang, Banten 15345</t>
  </si>
  <si>
    <t>Tanjung Pinang - Engku Putri</t>
  </si>
  <si>
    <t>Bestari, Jl. Engku Putri No.3-A, Tj. Ayun Sakti, Kec. Bukit Bestari, Kota Tanjung Pinang, Kepulauan Riau 29122</t>
  </si>
  <si>
    <t>Jl. Jend. Sudirman, Pamusian, Kec. Tarakan Tengah, Kota Tarakan, Kalimantan Utara 77113</t>
  </si>
  <si>
    <t>Jl. Tentara Pelajar No.129, Empangsari, Kec. Tawang, Kab. Tasikmalaya, Jawa Barat 46113</t>
  </si>
  <si>
    <t>Jl. Jend. Sudirman No.A 25 A, RW.26, Sri Padang, Kec. Rambutan, Kota Tebing Tinggi, Sumatera Utara 20998</t>
  </si>
  <si>
    <t>Jl. Arjuna, Ruko Jl. Palm Town House No.18, Slerok, Kec. Tegal Tim., Kota Tegal, Jawa Tengah 52125</t>
  </si>
  <si>
    <t>Jl. Tentara Pelajar No.2A, Kemantren, Temanggung I, Kec. Temanggung, Kabupaten Temanggung, Jawa Tengah 56212</t>
  </si>
  <si>
    <t>Utara 97714, Jl. Kapitan Pattimura No.13, Kalumpang, Kec. Ternate Tengah, Kota Ternate, Maluku Utara 97722</t>
  </si>
  <si>
    <t>Jl. K.H.Wahid Hasyim, Baru, Kec. Baolan, Kabupaten Toli-Toli, Sulawesi Tengah 94514</t>
  </si>
  <si>
    <t>Jl. Raya Tomohon, Matani Tiga, Kec. Tomohon Tengah, Kota Tomohon, Sulawesi Utara 95443</t>
  </si>
  <si>
    <t>samping SPBU bolu, Jl. Poros Bolu - Rantepao, Rante PakuTallunglipu, Kec. Rantepao, Kabupaten Toraja Utara, Sulawesi Selatan 91833</t>
  </si>
  <si>
    <t>Trenggalek - Menak Sopal</t>
  </si>
  <si>
    <t>Ruko graha, Jl. Sukarno Hatta, Dobangsan, Ngantru, Kec. Trenggalek, Kabupaten Trenggalek, Dobangsan, Ngantru, Kec. Trenggalek, Treggalek, Jawa Timur 66311</t>
  </si>
  <si>
    <t>Ruko Sagan Square, Jl. Sagan, Terban, Kec. Gondokusuman, Kota Yogyakarta, Daerah Istimewa Yogyakarta 55223</t>
  </si>
  <si>
    <t>Yogyakarta - Terban</t>
  </si>
  <si>
    <t>Ruko, Jl. Yap Square Jl. C. Simanjuntak No.2 Blk B12-B12 A, Terban, Kec. Gondokusuman, Kota Yogyakarta, Daerah Istimewa Yogyakarta 55223</t>
  </si>
  <si>
    <t>Jl. HOS Cokroaminoto No.77, Pakuncen, Wirobrajan, Kota Yogyakarta, Daerah Istimewa Yogyakarta 17143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</si>
</sst>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333333"/>
      <name val="Inter !important"/>
    </font>
    <font>
      <sz val="10.0"/>
      <color rgb="FF6B7280"/>
      <name val="Inter !important"/>
    </font>
    <font>
      <b/>
      <sz val="10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2" fontId="5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1.5"/>
    <col customWidth="1" min="3" max="3" width="27.13"/>
    <col customWidth="1" min="8" max="8" width="17.0"/>
    <col customWidth="1" min="9" max="11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>
        <f t="shared" ref="A2:A565" si="1">row(A1)</f>
        <v>1</v>
      </c>
      <c r="B2" s="4" t="s">
        <v>10</v>
      </c>
      <c r="C2" s="5" t="s">
        <v>11</v>
      </c>
      <c r="D2" s="6" t="s">
        <v>12</v>
      </c>
      <c r="E2" s="3"/>
      <c r="F2" s="3" t="str">
        <f>IFERROR(__xludf.DUMMYFUNCTION("SWITCH(
  TRUE,
  REGEXMATCH(B2,""Brain Academy""),""BAC"",
  REGEXMATCH(B2,""English Academy""),""EAC"",
  """"
)&amp;"" ""&amp;IFERROR(TRIM(INDEX(SPLIT(C2,""-""),2)),C2)"),"BAC Cibubur")</f>
        <v>BAC Cibubur</v>
      </c>
      <c r="G2" s="3" t="str">
        <f>IFERROR(__xludf.DUMMYFUNCTION("TRIM(INDEX(SPLIT(C2,""-""),1))"),"Bekasi")</f>
        <v>Bekasi</v>
      </c>
      <c r="H2" s="3" t="str">
        <f>IFERROR(__xludf.DUMMYFUNCTION("TRIM(INDEX(SPLIT(C2,""-""),2))"),"Cibubur")</f>
        <v>Cibubur</v>
      </c>
      <c r="I2" s="3"/>
      <c r="J2" s="7">
        <v>-6.378482</v>
      </c>
      <c r="K2" s="7">
        <v>106.9194989</v>
      </c>
    </row>
    <row r="3">
      <c r="A3" s="3">
        <f t="shared" si="1"/>
        <v>2</v>
      </c>
      <c r="B3" s="4" t="s">
        <v>10</v>
      </c>
      <c r="C3" s="5" t="s">
        <v>13</v>
      </c>
      <c r="D3" s="6" t="s">
        <v>14</v>
      </c>
      <c r="E3" s="3"/>
      <c r="F3" s="3" t="str">
        <f>IFERROR(__xludf.DUMMYFUNCTION("SWITCH(
  TRUE,
  REGEXMATCH(B3,""Brain Academy""),""BAC"",
  REGEXMATCH(B3,""English Academy""),""EAC"",
  """"
)&amp;"" ""&amp;IFERROR(TRIM(INDEX(SPLIT(C3,""-""),2)),C3)"),"BAC Citymall")</f>
        <v>BAC Citymall</v>
      </c>
      <c r="G3" s="3" t="str">
        <f>IFERROR(__xludf.DUMMYFUNCTION("TRIM(INDEX(SPLIT(C3,""-""),1))"),"Tangerang")</f>
        <v>Tangerang</v>
      </c>
      <c r="H3" s="3" t="str">
        <f>IFERROR(__xludf.DUMMYFUNCTION("TRIM(INDEX(SPLIT(C3,""-""),2))"),"Citymall")</f>
        <v>Citymall</v>
      </c>
      <c r="I3" s="3"/>
      <c r="J3" s="7">
        <v>-6.1942792</v>
      </c>
      <c r="K3" s="7">
        <v>106.6350698</v>
      </c>
    </row>
    <row r="4">
      <c r="A4" s="3">
        <f t="shared" si="1"/>
        <v>3</v>
      </c>
      <c r="B4" s="4" t="s">
        <v>10</v>
      </c>
      <c r="C4" s="5" t="s">
        <v>15</v>
      </c>
      <c r="D4" s="6" t="s">
        <v>16</v>
      </c>
      <c r="E4" s="3"/>
      <c r="F4" s="3" t="str">
        <f>IFERROR(__xludf.DUMMYFUNCTION("SWITCH(
  TRUE,
  REGEXMATCH(B4,""Brain Academy""),""BAC"",
  REGEXMATCH(B4,""English Academy""),""EAC"",
  """"
)&amp;"" ""&amp;IFERROR(TRIM(INDEX(SPLIT(C4,""-""),2)),C4)"),"BAC Permata")</f>
        <v>BAC Permata</v>
      </c>
      <c r="G4" s="3" t="str">
        <f>IFERROR(__xludf.DUMMYFUNCTION("TRIM(INDEX(SPLIT(C4,""-""),1))"),"Bogor")</f>
        <v>Bogor</v>
      </c>
      <c r="H4" s="4" t="s">
        <v>17</v>
      </c>
      <c r="I4" s="4" t="s">
        <v>18</v>
      </c>
      <c r="J4" s="4">
        <v>-6.5483858</v>
      </c>
      <c r="K4" s="4">
        <v>106.7742171</v>
      </c>
    </row>
    <row r="5">
      <c r="A5" s="3">
        <f t="shared" si="1"/>
        <v>4</v>
      </c>
      <c r="B5" s="4" t="s">
        <v>10</v>
      </c>
      <c r="C5" s="5" t="s">
        <v>19</v>
      </c>
      <c r="D5" s="6" t="s">
        <v>20</v>
      </c>
      <c r="E5" s="3"/>
      <c r="F5" s="3" t="str">
        <f>IFERROR(__xludf.DUMMYFUNCTION("SWITCH(
  TRUE,
  REGEXMATCH(B5,""Brain Academy""),""BAC"",
  REGEXMATCH(B5,""English Academy""),""EAC"",
  """"
)&amp;"" ""&amp;IFERROR(TRIM(INDEX(SPLIT(C5,""-""),2)),C5)"),"BAC Cihanjuang")</f>
        <v>BAC Cihanjuang</v>
      </c>
      <c r="G5" s="3" t="str">
        <f>IFERROR(__xludf.DUMMYFUNCTION("TRIM(INDEX(SPLIT(C5,""-""),1))"),"Cimahi")</f>
        <v>Cimahi</v>
      </c>
      <c r="H5" s="3" t="str">
        <f>IFERROR(__xludf.DUMMYFUNCTION("TRIM(INDEX(SPLIT(C5,""-""),2))"),"Cihanjuang")</f>
        <v>Cihanjuang</v>
      </c>
      <c r="I5" s="4" t="s">
        <v>21</v>
      </c>
      <c r="J5" s="4">
        <v>-6.8735389</v>
      </c>
      <c r="K5" s="4">
        <v>107.5525452</v>
      </c>
    </row>
    <row r="6">
      <c r="A6" s="3">
        <f t="shared" si="1"/>
        <v>5</v>
      </c>
      <c r="B6" s="4" t="s">
        <v>10</v>
      </c>
      <c r="C6" s="5" t="s">
        <v>22</v>
      </c>
      <c r="D6" s="6" t="s">
        <v>23</v>
      </c>
      <c r="E6" s="3"/>
      <c r="F6" s="3" t="str">
        <f>IFERROR(__xludf.DUMMYFUNCTION("SWITCH(
  TRUE,
  REGEXMATCH(B6,""Brain Academy""),""BAC"",
  REGEXMATCH(B6,""English Academy""),""EAC"",
  """"
)&amp;"" ""&amp;IFERROR(TRIM(INDEX(SPLIT(C6,""-""),2)),C6)"),"BAC Tuparev")</f>
        <v>BAC Tuparev</v>
      </c>
      <c r="G6" s="3" t="str">
        <f>IFERROR(__xludf.DUMMYFUNCTION("TRIM(INDEX(SPLIT(C6,""-""),1))"),"Karawang")</f>
        <v>Karawang</v>
      </c>
      <c r="H6" s="3" t="str">
        <f>IFERROR(__xludf.DUMMYFUNCTION("TRIM(INDEX(SPLIT(C6,""-""),2))"),"Tuparev")</f>
        <v>Tuparev</v>
      </c>
      <c r="I6" s="3"/>
      <c r="J6" s="7">
        <v>-6.3085957</v>
      </c>
      <c r="K6" s="7">
        <v>107.3095759</v>
      </c>
    </row>
    <row r="7">
      <c r="A7" s="3">
        <f t="shared" si="1"/>
        <v>6</v>
      </c>
      <c r="B7" s="4" t="s">
        <v>10</v>
      </c>
      <c r="C7" s="5" t="s">
        <v>24</v>
      </c>
      <c r="D7" s="6" t="s">
        <v>25</v>
      </c>
      <c r="E7" s="3"/>
      <c r="F7" s="3" t="str">
        <f>IFERROR(__xludf.DUMMYFUNCTION("SWITCH(
  TRUE,
  REGEXMATCH(B7,""Brain Academy""),""BAC"",
  REGEXMATCH(B7,""English Academy""),""EAC"",
  """"
)&amp;"" ""&amp;IFERROR(TRIM(INDEX(SPLIT(C7,""-""),2)),C7)"),"BAC Sukmajaya")</f>
        <v>BAC Sukmajaya</v>
      </c>
      <c r="G7" s="3" t="str">
        <f>IFERROR(__xludf.DUMMYFUNCTION("TRIM(INDEX(SPLIT(C7,""-""),1))"),"Depok")</f>
        <v>Depok</v>
      </c>
      <c r="H7" s="4" t="s">
        <v>26</v>
      </c>
      <c r="I7" s="4" t="s">
        <v>27</v>
      </c>
      <c r="J7" s="4">
        <v>-6.391858</v>
      </c>
      <c r="K7" s="4">
        <v>106.8389758</v>
      </c>
    </row>
    <row r="8">
      <c r="A8" s="3">
        <f t="shared" si="1"/>
        <v>7</v>
      </c>
      <c r="B8" s="4" t="s">
        <v>10</v>
      </c>
      <c r="C8" s="5" t="s">
        <v>28</v>
      </c>
      <c r="D8" s="6" t="s">
        <v>29</v>
      </c>
      <c r="E8" s="3"/>
      <c r="F8" s="3" t="str">
        <f>IFERROR(__xludf.DUMMYFUNCTION("SWITCH(
  TRUE,
  REGEXMATCH(B8,""Brain Academy""),""BAC"",
  REGEXMATCH(B8,""English Academy""),""EAC"",
  """"
)&amp;"" ""&amp;IFERROR(TRIM(INDEX(SPLIT(C8,""-""),2)),C8)"),"BAC Pajajaran")</f>
        <v>BAC Pajajaran</v>
      </c>
      <c r="G8" s="3" t="str">
        <f>IFERROR(__xludf.DUMMYFUNCTION("TRIM(INDEX(SPLIT(C8,""-""),1))"),"Bogor")</f>
        <v>Bogor</v>
      </c>
      <c r="H8" s="4" t="s">
        <v>30</v>
      </c>
      <c r="I8" s="4" t="s">
        <v>31</v>
      </c>
      <c r="J8" s="4">
        <v>-6.5749208</v>
      </c>
      <c r="K8" s="4">
        <v>106.8082284</v>
      </c>
    </row>
    <row r="9">
      <c r="A9" s="3">
        <f t="shared" si="1"/>
        <v>8</v>
      </c>
      <c r="B9" s="4" t="s">
        <v>10</v>
      </c>
      <c r="C9" s="5" t="s">
        <v>32</v>
      </c>
      <c r="D9" s="6" t="s">
        <v>33</v>
      </c>
      <c r="E9" s="3"/>
      <c r="F9" s="3" t="str">
        <f>IFERROR(__xludf.DUMMYFUNCTION("SWITCH(
  TRUE,
  REGEXMATCH(B9,""Brain Academy""),""BAC"",
  REGEXMATCH(B9,""English Academy""),""EAC"",
  """"
)&amp;"" ""&amp;IFERROR(TRIM(INDEX(SPLIT(C9,""-""),2)),C9)"),"BAC Pondok Gede")</f>
        <v>BAC Pondok Gede</v>
      </c>
      <c r="G9" s="3" t="str">
        <f>IFERROR(__xludf.DUMMYFUNCTION("TRIM(INDEX(SPLIT(C9,""-""),1))"),"Jakarta Timur")</f>
        <v>Jakarta Timur</v>
      </c>
      <c r="H9" s="3" t="str">
        <f>IFERROR(__xludf.DUMMYFUNCTION("TRIM(INDEX(SPLIT(C9,""-""),2))"),"Pondok Gede")</f>
        <v>Pondok Gede</v>
      </c>
      <c r="I9" s="3"/>
      <c r="J9" s="7">
        <v>-6.2862892</v>
      </c>
      <c r="K9" s="7">
        <v>106.8989817</v>
      </c>
    </row>
    <row r="10">
      <c r="A10" s="3">
        <f t="shared" si="1"/>
        <v>9</v>
      </c>
      <c r="B10" s="4" t="s">
        <v>10</v>
      </c>
      <c r="C10" s="5" t="s">
        <v>34</v>
      </c>
      <c r="D10" s="6" t="s">
        <v>35</v>
      </c>
      <c r="E10" s="3"/>
      <c r="F10" s="3" t="str">
        <f>IFERROR(__xludf.DUMMYFUNCTION("SWITCH(
  TRUE,
  REGEXMATCH(B10,""Brain Academy""),""BAC"",
  REGEXMATCH(B10,""English Academy""),""EAC"",
  """"
)&amp;"" ""&amp;IFERROR(TRIM(INDEX(SPLIT(C10,""-""),2)),C10)"),"BAC Kalideres")</f>
        <v>BAC Kalideres</v>
      </c>
      <c r="G10" s="3" t="str">
        <f>IFERROR(__xludf.DUMMYFUNCTION("TRIM(INDEX(SPLIT(C10,""-""),1))"),"Jakarta Barat")</f>
        <v>Jakarta Barat</v>
      </c>
      <c r="H10" s="3" t="str">
        <f>IFERROR(__xludf.DUMMYFUNCTION("TRIM(INDEX(SPLIT(C10,""-""),2))"),"Kalideres")</f>
        <v>Kalideres</v>
      </c>
      <c r="I10" s="3"/>
      <c r="J10" s="7">
        <v>-6.1466195</v>
      </c>
      <c r="K10" s="7">
        <v>106.7090822</v>
      </c>
    </row>
    <row r="11">
      <c r="A11" s="3">
        <f t="shared" si="1"/>
        <v>10</v>
      </c>
      <c r="B11" s="4" t="s">
        <v>10</v>
      </c>
      <c r="C11" s="5" t="s">
        <v>36</v>
      </c>
      <c r="D11" s="6" t="s">
        <v>37</v>
      </c>
      <c r="E11" s="3"/>
      <c r="F11" s="3" t="str">
        <f>IFERROR(__xludf.DUMMYFUNCTION("SWITCH(
  TRUE,
  REGEXMATCH(B11,""Brain Academy""),""BAC"",
  REGEXMATCH(B11,""English Academy""),""EAC"",
  """"
)&amp;"" ""&amp;IFERROR(TRIM(INDEX(SPLIT(C11,""-""),2)),C11)"),"BAC Pasar Minggu")</f>
        <v>BAC Pasar Minggu</v>
      </c>
      <c r="G11" s="3" t="str">
        <f>IFERROR(__xludf.DUMMYFUNCTION("TRIM(INDEX(SPLIT(C11,""-""),1))"),"Jakarta Selatan")</f>
        <v>Jakarta Selatan</v>
      </c>
      <c r="H11" s="3" t="str">
        <f>IFERROR(__xludf.DUMMYFUNCTION("TRIM(INDEX(SPLIT(C11,""-""),2))"),"Pasar Minggu")</f>
        <v>Pasar Minggu</v>
      </c>
      <c r="I11" s="4" t="s">
        <v>38</v>
      </c>
      <c r="J11" s="4">
        <v>-6.2778928</v>
      </c>
      <c r="K11" s="4">
        <v>106.8451711</v>
      </c>
    </row>
    <row r="12">
      <c r="A12" s="3">
        <f t="shared" si="1"/>
        <v>11</v>
      </c>
      <c r="B12" s="4" t="s">
        <v>10</v>
      </c>
      <c r="C12" s="5" t="s">
        <v>39</v>
      </c>
      <c r="D12" s="6" t="s">
        <v>40</v>
      </c>
      <c r="E12" s="3"/>
      <c r="F12" s="3" t="str">
        <f>IFERROR(__xludf.DUMMYFUNCTION("SWITCH(
  TRUE,
  REGEXMATCH(B12,""Brain Academy""),""BAC"",
  REGEXMATCH(B12,""English Academy""),""EAC"",
  """"
)&amp;"" ""&amp;IFERROR(TRIM(INDEX(SPLIT(C12,""-""),2)),C12)"),"BAC Kebayoran Baru")</f>
        <v>BAC Kebayoran Baru</v>
      </c>
      <c r="G12" s="3" t="str">
        <f>IFERROR(__xludf.DUMMYFUNCTION("TRIM(INDEX(SPLIT(C12,""-""),1))"),"Jakarta Selatan")</f>
        <v>Jakarta Selatan</v>
      </c>
      <c r="H12" s="3" t="str">
        <f>IFERROR(__xludf.DUMMYFUNCTION("TRIM(INDEX(SPLIT(C12,""-""),2))"),"Kebayoran Baru")</f>
        <v>Kebayoran Baru</v>
      </c>
      <c r="I12" s="4" t="s">
        <v>41</v>
      </c>
      <c r="J12" s="4">
        <v>-6.239262099999999</v>
      </c>
      <c r="K12" s="4">
        <v>106.7854153</v>
      </c>
    </row>
    <row r="13">
      <c r="A13" s="3">
        <f t="shared" si="1"/>
        <v>12</v>
      </c>
      <c r="B13" s="4" t="s">
        <v>10</v>
      </c>
      <c r="C13" s="5" t="s">
        <v>42</v>
      </c>
      <c r="D13" s="6" t="s">
        <v>43</v>
      </c>
      <c r="E13" s="3"/>
      <c r="F13" s="3" t="str">
        <f>IFERROR(__xludf.DUMMYFUNCTION("SWITCH(
  TRUE,
  REGEXMATCH(B13,""Brain Academy""),""BAC"",
  REGEXMATCH(B13,""English Academy""),""EAC"",
  """"
)&amp;"" ""&amp;IFERROR(TRIM(INDEX(SPLIT(C13,""-""),2)),C13)"),"BAC Harapan Indah")</f>
        <v>BAC Harapan Indah</v>
      </c>
      <c r="G13" s="3" t="str">
        <f>IFERROR(__xludf.DUMMYFUNCTION("TRIM(INDEX(SPLIT(C13,""-""),1))"),"Bekasi")</f>
        <v>Bekasi</v>
      </c>
      <c r="H13" s="3" t="str">
        <f>IFERROR(__xludf.DUMMYFUNCTION("TRIM(INDEX(SPLIT(C13,""-""),2))"),"Harapan Indah")</f>
        <v>Harapan Indah</v>
      </c>
      <c r="I13" s="3"/>
      <c r="J13" s="7">
        <v>-6.1840006</v>
      </c>
      <c r="K13" s="7">
        <v>106.9844625</v>
      </c>
    </row>
    <row r="14">
      <c r="A14" s="3">
        <f t="shared" si="1"/>
        <v>13</v>
      </c>
      <c r="B14" s="4" t="s">
        <v>10</v>
      </c>
      <c r="C14" s="5" t="s">
        <v>44</v>
      </c>
      <c r="D14" s="6" t="s">
        <v>45</v>
      </c>
      <c r="E14" s="3"/>
      <c r="F14" s="3" t="str">
        <f>IFERROR(__xludf.DUMMYFUNCTION("SWITCH(
  TRUE,
  REGEXMATCH(B14,""Brain Academy""),""BAC"",
  REGEXMATCH(B14,""English Academy""),""EAC"",
  """"
)&amp;"" ""&amp;IFERROR(TRIM(INDEX(SPLIT(C14,""-""),2)),C14)"),"BAC Tambun")</f>
        <v>BAC Tambun</v>
      </c>
      <c r="G14" s="3" t="str">
        <f>IFERROR(__xludf.DUMMYFUNCTION("TRIM(INDEX(SPLIT(C14,""-""),1))"),"Bekasi")</f>
        <v>Bekasi</v>
      </c>
      <c r="H14" s="3" t="str">
        <f>IFERROR(__xludf.DUMMYFUNCTION("TRIM(INDEX(SPLIT(C14,""-""),2))"),"Tambun")</f>
        <v>Tambun</v>
      </c>
      <c r="I14" s="3"/>
      <c r="J14" s="7">
        <v>-6.2642073</v>
      </c>
      <c r="K14" s="7">
        <v>107.0731091</v>
      </c>
    </row>
    <row r="15">
      <c r="A15" s="3">
        <f t="shared" si="1"/>
        <v>14</v>
      </c>
      <c r="B15" s="4" t="s">
        <v>10</v>
      </c>
      <c r="C15" s="5" t="s">
        <v>46</v>
      </c>
      <c r="D15" s="6" t="s">
        <v>47</v>
      </c>
      <c r="E15" s="3"/>
      <c r="F15" s="3" t="str">
        <f>IFERROR(__xludf.DUMMYFUNCTION("SWITCH(
  TRUE,
  REGEXMATCH(B15,""Brain Academy""),""BAC"",
  REGEXMATCH(B15,""English Academy""),""EAC"",
  """"
)&amp;"" ""&amp;IFERROR(TRIM(INDEX(SPLIT(C15,""-""),2)),C15)"),"BAC Mayor Oking")</f>
        <v>BAC Mayor Oking</v>
      </c>
      <c r="G15" s="3" t="str">
        <f>IFERROR(__xludf.DUMMYFUNCTION("TRIM(INDEX(SPLIT(C15,""-""),1))"),"Cibinong")</f>
        <v>Cibinong</v>
      </c>
      <c r="H15" s="3" t="str">
        <f>IFERROR(__xludf.DUMMYFUNCTION("TRIM(INDEX(SPLIT(C15,""-""),2))"),"Mayor Oking")</f>
        <v>Mayor Oking</v>
      </c>
      <c r="I15" s="3"/>
      <c r="J15" s="7">
        <v>-6.47317</v>
      </c>
      <c r="K15" s="7">
        <v>106.8628484</v>
      </c>
    </row>
    <row r="16">
      <c r="A16" s="3">
        <f t="shared" si="1"/>
        <v>15</v>
      </c>
      <c r="B16" s="4" t="s">
        <v>10</v>
      </c>
      <c r="C16" s="5" t="s">
        <v>48</v>
      </c>
      <c r="D16" s="6" t="s">
        <v>49</v>
      </c>
      <c r="E16" s="3"/>
      <c r="F16" s="3" t="str">
        <f>IFERROR(__xludf.DUMMYFUNCTION("SWITCH(
  TRUE,
  REGEXMATCH(B16,""Brain Academy""),""BAC"",
  REGEXMATCH(B16,""English Academy""),""EAC"",
  """"
)&amp;"" ""&amp;IFERROR(TRIM(INDEX(SPLIT(C16,""-""),2)),C16)"),"BAC Mahendradatta")</f>
        <v>BAC Mahendradatta</v>
      </c>
      <c r="G16" s="3" t="str">
        <f>IFERROR(__xludf.DUMMYFUNCTION("TRIM(INDEX(SPLIT(C16,""-""),1))"),"Denpasar")</f>
        <v>Denpasar</v>
      </c>
      <c r="H16" s="3" t="str">
        <f>IFERROR(__xludf.DUMMYFUNCTION("TRIM(INDEX(SPLIT(C16,""-""),2))"),"Mahendradatta")</f>
        <v>Mahendradatta</v>
      </c>
      <c r="I16" s="3"/>
      <c r="J16" s="7">
        <v>-8.6644347</v>
      </c>
      <c r="K16" s="7">
        <v>115.189291</v>
      </c>
    </row>
    <row r="17">
      <c r="A17" s="3">
        <f t="shared" si="1"/>
        <v>16</v>
      </c>
      <c r="B17" s="4" t="s">
        <v>10</v>
      </c>
      <c r="C17" s="5" t="s">
        <v>50</v>
      </c>
      <c r="D17" s="6" t="s">
        <v>51</v>
      </c>
      <c r="E17" s="3"/>
      <c r="F17" s="3" t="str">
        <f>IFERROR(__xludf.DUMMYFUNCTION("SWITCH(
  TRUE,
  REGEXMATCH(B17,""Brain Academy""),""BAC"",
  REGEXMATCH(B17,""English Academy""),""EAC"",
  """"
)&amp;"" ""&amp;IFERROR(TRIM(INDEX(SPLIT(C17,""-""),2)),C17)"),"BAC Merbabu")</f>
        <v>BAC Merbabu</v>
      </c>
      <c r="G17" s="3" t="str">
        <f>IFERROR(__xludf.DUMMYFUNCTION("TRIM(INDEX(SPLIT(C17,""-""),1))"),"Klaten")</f>
        <v>Klaten</v>
      </c>
      <c r="H17" s="3" t="str">
        <f>IFERROR(__xludf.DUMMYFUNCTION("TRIM(INDEX(SPLIT(C17,""-""),2))"),"Merbabu")</f>
        <v>Merbabu</v>
      </c>
      <c r="I17" s="3"/>
      <c r="J17" s="7">
        <v>-7.706515</v>
      </c>
      <c r="K17" s="7">
        <v>110.597301</v>
      </c>
    </row>
    <row r="18">
      <c r="A18" s="3">
        <f t="shared" si="1"/>
        <v>17</v>
      </c>
      <c r="B18" s="4" t="s">
        <v>10</v>
      </c>
      <c r="C18" s="5" t="s">
        <v>52</v>
      </c>
      <c r="D18" s="6" t="s">
        <v>53</v>
      </c>
      <c r="E18" s="3"/>
      <c r="F18" s="3" t="str">
        <f>IFERROR(__xludf.DUMMYFUNCTION("SWITCH(
  TRUE,
  REGEXMATCH(B18,""Brain Academy""),""BAC"",
  REGEXMATCH(B18,""English Academy""),""EAC"",
  """"
)&amp;"" ""&amp;IFERROR(TRIM(INDEX(SPLIT(C18,""-""),2)),C18)"),"BAC Sumbersari")</f>
        <v>BAC Sumbersari</v>
      </c>
      <c r="G18" s="3" t="str">
        <f>IFERROR(__xludf.DUMMYFUNCTION("TRIM(INDEX(SPLIT(C18,""-""),1))"),"Jember")</f>
        <v>Jember</v>
      </c>
      <c r="H18" s="3" t="str">
        <f>IFERROR(__xludf.DUMMYFUNCTION("TRIM(INDEX(SPLIT(C18,""-""),2))"),"Sumbersari")</f>
        <v>Sumbersari</v>
      </c>
      <c r="I18" s="3"/>
      <c r="J18" s="7">
        <v>-8.169542</v>
      </c>
      <c r="K18" s="7">
        <v>113.7149291</v>
      </c>
    </row>
    <row r="19">
      <c r="A19" s="3">
        <f t="shared" si="1"/>
        <v>18</v>
      </c>
      <c r="B19" s="4" t="s">
        <v>10</v>
      </c>
      <c r="C19" s="5" t="s">
        <v>54</v>
      </c>
      <c r="D19" s="6" t="s">
        <v>55</v>
      </c>
      <c r="E19" s="3"/>
      <c r="F19" s="3" t="str">
        <f>IFERROR(__xludf.DUMMYFUNCTION("SWITCH(
  TRUE,
  REGEXMATCH(B19,""Brain Academy""),""BAC"",
  REGEXMATCH(B19,""English Academy""),""EAC"",
  """"
)&amp;"" ""&amp;IFERROR(TRIM(INDEX(SPLIT(C19,""-""),2)),C19)"),"BAC Tentara Pelajar")</f>
        <v>BAC Tentara Pelajar</v>
      </c>
      <c r="G19" s="3" t="str">
        <f>IFERROR(__xludf.DUMMYFUNCTION("TRIM(INDEX(SPLIT(C19,""-""),1))"),"Tasikmalaya")</f>
        <v>Tasikmalaya</v>
      </c>
      <c r="H19" s="3" t="str">
        <f>IFERROR(__xludf.DUMMYFUNCTION("TRIM(INDEX(SPLIT(C19,""-""),2))"),"Tentara Pelajar")</f>
        <v>Tentara Pelajar</v>
      </c>
      <c r="I19" s="3"/>
      <c r="J19" s="7">
        <v>-7.3290694</v>
      </c>
      <c r="K19" s="7">
        <v>108.2229819</v>
      </c>
    </row>
    <row r="20">
      <c r="A20" s="3">
        <f t="shared" si="1"/>
        <v>19</v>
      </c>
      <c r="B20" s="4" t="s">
        <v>10</v>
      </c>
      <c r="C20" s="5" t="s">
        <v>56</v>
      </c>
      <c r="D20" s="6" t="s">
        <v>57</v>
      </c>
      <c r="E20" s="3"/>
      <c r="F20" s="3" t="str">
        <f>IFERROR(__xludf.DUMMYFUNCTION("SWITCH(
  TRUE,
  REGEXMATCH(B20,""Brain Academy""),""BAC"",
  REGEXMATCH(B20,""English Academy""),""EAC"",
  """"
)&amp;"" ""&amp;IFERROR(TRIM(INDEX(SPLIT(C20,""-""),2)),C20)"),"BAC Kombas")</f>
        <v>BAC Kombas</v>
      </c>
      <c r="G20" s="3" t="str">
        <f>IFERROR(__xludf.DUMMYFUNCTION("TRIM(INDEX(SPLIT(C20,""-""),1))"),"Purwokerto")</f>
        <v>Purwokerto</v>
      </c>
      <c r="H20" s="3" t="str">
        <f>IFERROR(__xludf.DUMMYFUNCTION("TRIM(INDEX(SPLIT(C20,""-""),2))"),"Kombas")</f>
        <v>Kombas</v>
      </c>
      <c r="I20" s="3"/>
      <c r="J20" s="7">
        <v>-7.4236899</v>
      </c>
      <c r="K20" s="7">
        <v>109.2439029</v>
      </c>
    </row>
    <row r="21">
      <c r="A21" s="3">
        <f t="shared" si="1"/>
        <v>20</v>
      </c>
      <c r="B21" s="4" t="s">
        <v>10</v>
      </c>
      <c r="C21" s="5" t="s">
        <v>58</v>
      </c>
      <c r="D21" s="6" t="s">
        <v>59</v>
      </c>
      <c r="E21" s="3"/>
      <c r="F21" s="3" t="str">
        <f>IFERROR(__xludf.DUMMYFUNCTION("SWITCH(
  TRUE,
  REGEXMATCH(B21,""Brain Academy""),""BAC"",
  REGEXMATCH(B21,""English Academy""),""EAC"",
  """"
)&amp;"" ""&amp;IFERROR(TRIM(INDEX(SPLIT(C21,""-""),2)),C21)"),"BAC Banyumanik")</f>
        <v>BAC Banyumanik</v>
      </c>
      <c r="G21" s="3" t="str">
        <f>IFERROR(__xludf.DUMMYFUNCTION("TRIM(INDEX(SPLIT(C21,""-""),1))"),"Semarang")</f>
        <v>Semarang</v>
      </c>
      <c r="H21" s="3" t="str">
        <f>IFERROR(__xludf.DUMMYFUNCTION("TRIM(INDEX(SPLIT(C21,""-""),2))"),"Banyumanik")</f>
        <v>Banyumanik</v>
      </c>
      <c r="I21" s="3"/>
      <c r="J21" s="7">
        <v>-7.066114499999999</v>
      </c>
      <c r="K21" s="7">
        <v>110.4186358</v>
      </c>
    </row>
    <row r="22">
      <c r="A22" s="3">
        <f t="shared" si="1"/>
        <v>21</v>
      </c>
      <c r="B22" s="4" t="s">
        <v>10</v>
      </c>
      <c r="C22" s="5" t="s">
        <v>60</v>
      </c>
      <c r="D22" s="6" t="s">
        <v>61</v>
      </c>
      <c r="E22" s="3"/>
      <c r="F22" s="3" t="str">
        <f>IFERROR(__xludf.DUMMYFUNCTION("SWITCH(
  TRUE,
  REGEXMATCH(B22,""Brain Academy""),""BAC"",
  REGEXMATCH(B22,""English Academy""),""EAC"",
  """"
)&amp;"" ""&amp;IFERROR(TRIM(INDEX(SPLIT(C22,""-""),2)),C22)"),"BAC Mertoyudan")</f>
        <v>BAC Mertoyudan</v>
      </c>
      <c r="G22" s="3" t="str">
        <f>IFERROR(__xludf.DUMMYFUNCTION("TRIM(INDEX(SPLIT(C22,""-""),1))"),"Magelang")</f>
        <v>Magelang</v>
      </c>
      <c r="H22" s="3" t="str">
        <f>IFERROR(__xludf.DUMMYFUNCTION("TRIM(INDEX(SPLIT(C22,""-""),2))"),"Mertoyudan")</f>
        <v>Mertoyudan</v>
      </c>
      <c r="I22" s="3"/>
      <c r="J22" s="7">
        <v>-7.5135855</v>
      </c>
      <c r="K22" s="7">
        <v>110.1959211</v>
      </c>
    </row>
    <row r="23">
      <c r="A23" s="3">
        <f t="shared" si="1"/>
        <v>22</v>
      </c>
      <c r="B23" s="4" t="s">
        <v>10</v>
      </c>
      <c r="C23" s="5" t="s">
        <v>62</v>
      </c>
      <c r="D23" s="6" t="s">
        <v>63</v>
      </c>
      <c r="E23" s="3"/>
      <c r="F23" s="3" t="str">
        <f>IFERROR(__xludf.DUMMYFUNCTION("SWITCH(
  TRUE,
  REGEXMATCH(B23,""Brain Academy""),""BAC"",
  REGEXMATCH(B23,""English Academy""),""EAC"",
  """"
)&amp;"" ""&amp;IFERROR(TRIM(INDEX(SPLIT(C23,""-""),2)),C23)"),"BAC CSB Mall")</f>
        <v>BAC CSB Mall</v>
      </c>
      <c r="G23" s="3" t="str">
        <f>IFERROR(__xludf.DUMMYFUNCTION("TRIM(INDEX(SPLIT(C23,""-""),1))"),"Cirebon")</f>
        <v>Cirebon</v>
      </c>
      <c r="H23" s="3" t="str">
        <f>IFERROR(__xludf.DUMMYFUNCTION("TRIM(INDEX(SPLIT(C23,""-""),2))"),"CSB Mall")</f>
        <v>CSB Mall</v>
      </c>
      <c r="I23" s="3"/>
      <c r="J23" s="7">
        <v>-6.7182514</v>
      </c>
      <c r="K23" s="7">
        <v>108.5499088</v>
      </c>
    </row>
    <row r="24">
      <c r="A24" s="3">
        <f t="shared" si="1"/>
        <v>23</v>
      </c>
      <c r="B24" s="4" t="s">
        <v>10</v>
      </c>
      <c r="C24" s="5" t="s">
        <v>64</v>
      </c>
      <c r="D24" s="6" t="s">
        <v>65</v>
      </c>
      <c r="E24" s="3"/>
      <c r="F24" s="3" t="str">
        <f>IFERROR(__xludf.DUMMYFUNCTION("SWITCH(
  TRUE,
  REGEXMATCH(B24,""Brain Academy""),""BAC"",
  REGEXMATCH(B24,""English Academy""),""EAC"",
  """"
)&amp;"" ""&amp;IFERROR(TRIM(INDEX(SPLIT(C24,""-""),2)),C24)"),"BAC Pondok Jati")</f>
        <v>BAC Pondok Jati</v>
      </c>
      <c r="G24" s="3" t="str">
        <f>IFERROR(__xludf.DUMMYFUNCTION("TRIM(INDEX(SPLIT(C24,""-""),1))"),"Sidoarjo")</f>
        <v>Sidoarjo</v>
      </c>
      <c r="H24" s="4" t="s">
        <v>66</v>
      </c>
      <c r="I24" s="3"/>
      <c r="J24" s="7">
        <v>-7.4467931</v>
      </c>
      <c r="K24" s="7">
        <v>112.7022052</v>
      </c>
    </row>
    <row r="25">
      <c r="A25" s="3">
        <f t="shared" si="1"/>
        <v>24</v>
      </c>
      <c r="B25" s="4" t="s">
        <v>10</v>
      </c>
      <c r="C25" s="5" t="s">
        <v>67</v>
      </c>
      <c r="D25" s="6" t="s">
        <v>68</v>
      </c>
      <c r="E25" s="3"/>
      <c r="F25" s="3" t="str">
        <f>IFERROR(__xludf.DUMMYFUNCTION("SWITCH(
  TRUE,
  REGEXMATCH(B25,""Brain Academy""),""BAC"",
  REGEXMATCH(B25,""English Academy""),""EAC"",
  """"
)&amp;"" ""&amp;IFERROR(TRIM(INDEX(SPLIT(C25,""-""),2)),C25)"),"BAC Hasanudin")</f>
        <v>BAC Hasanudin</v>
      </c>
      <c r="G25" s="3" t="str">
        <f>IFERROR(__xludf.DUMMYFUNCTION("TRIM(INDEX(SPLIT(C25,""-""),1))"),"Kediri")</f>
        <v>Kediri</v>
      </c>
      <c r="H25" s="3" t="str">
        <f>IFERROR(__xludf.DUMMYFUNCTION("TRIM(INDEX(SPLIT(C25,""-""),2))"),"Hasanudin")</f>
        <v>Hasanudin</v>
      </c>
      <c r="I25" s="3"/>
      <c r="J25" s="7">
        <v>-7.811414799999999</v>
      </c>
      <c r="K25" s="7">
        <v>112.0168593</v>
      </c>
    </row>
    <row r="26">
      <c r="A26" s="3">
        <f t="shared" si="1"/>
        <v>25</v>
      </c>
      <c r="B26" s="4" t="s">
        <v>10</v>
      </c>
      <c r="C26" s="5" t="s">
        <v>69</v>
      </c>
      <c r="D26" s="6" t="s">
        <v>70</v>
      </c>
      <c r="E26" s="3"/>
      <c r="F26" s="3" t="str">
        <f>IFERROR(__xludf.DUMMYFUNCTION("SWITCH(
  TRUE,
  REGEXMATCH(B26,""Brain Academy""),""BAC"",
  REGEXMATCH(B26,""English Academy""),""EAC"",
  """"
)&amp;"" ""&amp;IFERROR(TRIM(INDEX(SPLIT(C26,""-""),2)),C26)"),"BAC Hertasning")</f>
        <v>BAC Hertasning</v>
      </c>
      <c r="G26" s="3" t="str">
        <f>IFERROR(__xludf.DUMMYFUNCTION("TRIM(INDEX(SPLIT(C26,""-""),1))"),"Makassar")</f>
        <v>Makassar</v>
      </c>
      <c r="H26" s="3" t="str">
        <f>IFERROR(__xludf.DUMMYFUNCTION("TRIM(INDEX(SPLIT(C26,""-""),2))"),"Hertasning")</f>
        <v>Hertasning</v>
      </c>
      <c r="I26" s="3"/>
      <c r="J26" s="7">
        <v>-5.1674541</v>
      </c>
      <c r="K26" s="7">
        <v>119.4463926</v>
      </c>
    </row>
    <row r="27">
      <c r="A27" s="3">
        <f t="shared" si="1"/>
        <v>26</v>
      </c>
      <c r="B27" s="4" t="s">
        <v>10</v>
      </c>
      <c r="C27" s="5" t="s">
        <v>71</v>
      </c>
      <c r="D27" s="6" t="s">
        <v>72</v>
      </c>
      <c r="E27" s="3"/>
      <c r="F27" s="3" t="str">
        <f>IFERROR(__xludf.DUMMYFUNCTION("SWITCH(
  TRUE,
  REGEXMATCH(B27,""Brain Academy""),""BAC"",
  REGEXMATCH(B27,""English Academy""),""EAC"",
  """"
)&amp;"" ""&amp;IFERROR(TRIM(INDEX(SPLIT(C27,""-""),2)),C27)"),"BAC Padat Karya")</f>
        <v>BAC Padat Karya</v>
      </c>
      <c r="G27" s="3" t="str">
        <f>IFERROR(__xludf.DUMMYFUNCTION("TRIM(INDEX(SPLIT(C27,""-""),1))"),"Prabumulih")</f>
        <v>Prabumulih</v>
      </c>
      <c r="H27" s="3" t="str">
        <f>IFERROR(__xludf.DUMMYFUNCTION("TRIM(INDEX(SPLIT(C27,""-""),2))"),"Padat Karya")</f>
        <v>Padat Karya</v>
      </c>
      <c r="I27" s="3"/>
      <c r="J27" s="7">
        <v>-3.4169258</v>
      </c>
      <c r="K27" s="7">
        <v>104.2675599</v>
      </c>
    </row>
    <row r="28">
      <c r="A28" s="3">
        <f t="shared" si="1"/>
        <v>27</v>
      </c>
      <c r="B28" s="4" t="s">
        <v>10</v>
      </c>
      <c r="C28" s="5" t="s">
        <v>73</v>
      </c>
      <c r="D28" s="6" t="s">
        <v>74</v>
      </c>
      <c r="E28" s="3"/>
      <c r="F28" s="3" t="str">
        <f>IFERROR(__xludf.DUMMYFUNCTION("SWITCH(
  TRUE,
  REGEXMATCH(B28,""Brain Academy""),""BAC"",
  REGEXMATCH(B28,""English Academy""),""EAC"",
  """"
)&amp;"" ""&amp;IFERROR(TRIM(INDEX(SPLIT(C28,""-""),2)),C28)"),"BAC Jenderal Sudirman")</f>
        <v>BAC Jenderal Sudirman</v>
      </c>
      <c r="G28" s="3" t="str">
        <f>IFERROR(__xludf.DUMMYFUNCTION("TRIM(INDEX(SPLIT(C28,""-""),1))"),"Dumai")</f>
        <v>Dumai</v>
      </c>
      <c r="H28" s="3" t="str">
        <f>IFERROR(__xludf.DUMMYFUNCTION("TRIM(INDEX(SPLIT(C28,""-""),2))"),"Jenderal Sudirman")</f>
        <v>Jenderal Sudirman</v>
      </c>
      <c r="I28" s="3"/>
      <c r="J28" s="7">
        <v>1.6789745</v>
      </c>
      <c r="K28" s="7">
        <v>101.4484126</v>
      </c>
    </row>
    <row r="29">
      <c r="A29" s="3">
        <f t="shared" si="1"/>
        <v>28</v>
      </c>
      <c r="B29" s="4" t="s">
        <v>10</v>
      </c>
      <c r="C29" s="5" t="s">
        <v>75</v>
      </c>
      <c r="D29" s="6" t="s">
        <v>76</v>
      </c>
      <c r="E29" s="3"/>
      <c r="F29" s="3" t="str">
        <f>IFERROR(__xludf.DUMMYFUNCTION("SWITCH(
  TRUE,
  REGEXMATCH(B29,""Brain Academy""),""BAC"",
  REGEXMATCH(B29,""English Academy""),""EAC"",
  """"
)&amp;"" ""&amp;IFERROR(TRIM(INDEX(SPLIT(C29,""-""),2)),C29)"),"BAC Tarandam")</f>
        <v>BAC Tarandam</v>
      </c>
      <c r="G29" s="3" t="str">
        <f>IFERROR(__xludf.DUMMYFUNCTION("TRIM(INDEX(SPLIT(C29,""-""),1))"),"Padang")</f>
        <v>Padang</v>
      </c>
      <c r="H29" s="3" t="str">
        <f>IFERROR(__xludf.DUMMYFUNCTION("TRIM(INDEX(SPLIT(C29,""-""),2))"),"Tarandam")</f>
        <v>Tarandam</v>
      </c>
      <c r="I29" s="3"/>
      <c r="J29" s="7">
        <v>-0.9510149</v>
      </c>
      <c r="K29" s="7">
        <v>100.3645969</v>
      </c>
    </row>
    <row r="30">
      <c r="A30" s="3">
        <f t="shared" si="1"/>
        <v>29</v>
      </c>
      <c r="B30" s="4" t="s">
        <v>10</v>
      </c>
      <c r="C30" s="5" t="s">
        <v>77</v>
      </c>
      <c r="D30" s="6" t="s">
        <v>78</v>
      </c>
      <c r="E30" s="3"/>
      <c r="F30" s="3" t="str">
        <f>IFERROR(__xludf.DUMMYFUNCTION("SWITCH(
  TRUE,
  REGEXMATCH(B30,""Brain Academy""),""BAC"",
  REGEXMATCH(B30,""English Academy""),""EAC"",
  """"
)&amp;"" ""&amp;IFERROR(TRIM(INDEX(SPLIT(C30,""-""),2)),C30)"),"BAC Andi Kambo")</f>
        <v>BAC Andi Kambo</v>
      </c>
      <c r="G30" s="3" t="str">
        <f>IFERROR(__xludf.DUMMYFUNCTION("TRIM(INDEX(SPLIT(C30,""-""),1))"),"Palopo")</f>
        <v>Palopo</v>
      </c>
      <c r="H30" s="3" t="str">
        <f>IFERROR(__xludf.DUMMYFUNCTION("TRIM(INDEX(SPLIT(C30,""-""),2))"),"Andi Kambo")</f>
        <v>Andi Kambo</v>
      </c>
      <c r="I30" s="3"/>
      <c r="J30" s="7">
        <v>-3.0034479</v>
      </c>
      <c r="K30" s="7">
        <v>120.2012723</v>
      </c>
    </row>
    <row r="31">
      <c r="A31" s="3">
        <f t="shared" si="1"/>
        <v>30</v>
      </c>
      <c r="B31" s="4" t="s">
        <v>10</v>
      </c>
      <c r="C31" s="5" t="s">
        <v>79</v>
      </c>
      <c r="D31" s="6" t="s">
        <v>80</v>
      </c>
      <c r="E31" s="3"/>
      <c r="F31" s="3" t="str">
        <f>IFERROR(__xludf.DUMMYFUNCTION("SWITCH(
  TRUE,
  REGEXMATCH(B31,""Brain Academy""),""BAC"",
  REGEXMATCH(B31,""English Academy""),""EAC"",
  """"
)&amp;"" ""&amp;IFERROR(TRIM(INDEX(SPLIT(C31,""-""),2)),C31)"),"BAC Abdullah Silondae")</f>
        <v>BAC Abdullah Silondae</v>
      </c>
      <c r="G31" s="3" t="str">
        <f>IFERROR(__xludf.DUMMYFUNCTION("TRIM(INDEX(SPLIT(C31,""-""),1))"),"Kendari")</f>
        <v>Kendari</v>
      </c>
      <c r="H31" s="3" t="str">
        <f>IFERROR(__xludf.DUMMYFUNCTION("TRIM(INDEX(SPLIT(C31,""-""),2))"),"Abdullah Silondae")</f>
        <v>Abdullah Silondae</v>
      </c>
      <c r="I31" s="3"/>
      <c r="J31" s="7">
        <v>-3.9708239</v>
      </c>
      <c r="K31" s="7">
        <v>122.515061</v>
      </c>
    </row>
    <row r="32">
      <c r="A32" s="3">
        <f t="shared" si="1"/>
        <v>31</v>
      </c>
      <c r="B32" s="4" t="s">
        <v>10</v>
      </c>
      <c r="C32" s="5" t="s">
        <v>81</v>
      </c>
      <c r="D32" s="6" t="s">
        <v>82</v>
      </c>
      <c r="E32" s="3"/>
      <c r="F32" s="3" t="str">
        <f>IFERROR(__xludf.DUMMYFUNCTION("SWITCH(
  TRUE,
  REGEXMATCH(B32,""Brain Academy""),""BAC"",
  REGEXMATCH(B32,""English Academy""),""EAC"",
  """"
)&amp;"" ""&amp;IFERROR(TRIM(INDEX(SPLIT(C32,""-""),2)),C32)"),"BAC Thehok")</f>
        <v>BAC Thehok</v>
      </c>
      <c r="G32" s="3" t="str">
        <f>IFERROR(__xludf.DUMMYFUNCTION("TRIM(INDEX(SPLIT(C32,""-""),1))"),"Jambi")</f>
        <v>Jambi</v>
      </c>
      <c r="H32" s="3" t="str">
        <f>IFERROR(__xludf.DUMMYFUNCTION("TRIM(INDEX(SPLIT(C32,""-""),2))"),"Thehok")</f>
        <v>Thehok</v>
      </c>
      <c r="I32" s="3"/>
      <c r="J32" s="7">
        <v>-1.6110842</v>
      </c>
      <c r="K32" s="7">
        <v>103.6242775</v>
      </c>
    </row>
    <row r="33">
      <c r="A33" s="3">
        <f t="shared" si="1"/>
        <v>32</v>
      </c>
      <c r="B33" s="4" t="s">
        <v>10</v>
      </c>
      <c r="C33" s="5" t="s">
        <v>83</v>
      </c>
      <c r="D33" s="6" t="s">
        <v>84</v>
      </c>
      <c r="E33" s="3"/>
      <c r="F33" s="3" t="str">
        <f>IFERROR(__xludf.DUMMYFUNCTION("SWITCH(
  TRUE,
  REGEXMATCH(B33,""Brain Academy""),""BAC"",
  REGEXMATCH(B33,""English Academy""),""EAC"",
  """"
)&amp;"" ""&amp;IFERROR(TRIM(INDEX(SPLIT(C33,""-""),2)),C33)"),"BAC S. Parman")</f>
        <v>BAC S. Parman</v>
      </c>
      <c r="G33" s="3" t="str">
        <f>IFERROR(__xludf.DUMMYFUNCTION("TRIM(INDEX(SPLIT(C33,""-""),1))"),"Bengkulu")</f>
        <v>Bengkulu</v>
      </c>
      <c r="H33" s="3" t="str">
        <f>IFERROR(__xludf.DUMMYFUNCTION("TRIM(INDEX(SPLIT(C33,""-""),2))"),"S. Parman")</f>
        <v>S. Parman</v>
      </c>
      <c r="I33" s="3"/>
      <c r="J33" s="7">
        <v>-3.7989326</v>
      </c>
      <c r="K33" s="7">
        <v>102.2681986</v>
      </c>
    </row>
    <row r="34">
      <c r="A34" s="3">
        <f t="shared" si="1"/>
        <v>33</v>
      </c>
      <c r="B34" s="4" t="s">
        <v>10</v>
      </c>
      <c r="C34" s="5" t="s">
        <v>85</v>
      </c>
      <c r="D34" s="6" t="s">
        <v>86</v>
      </c>
      <c r="E34" s="3"/>
      <c r="F34" s="3" t="str">
        <f>IFERROR(__xludf.DUMMYFUNCTION("SWITCH(
  TRUE,
  REGEXMATCH(B34,""Brain Academy""),""BAC"",
  REGEXMATCH(B34,""English Academy""),""EAC"",
  """"
)&amp;"" ""&amp;IFERROR(TRIM(INDEX(SPLIT(C34,""-""),2)),C34)"),"BAC Yos Sudarso")</f>
        <v>BAC Yos Sudarso</v>
      </c>
      <c r="G34" s="3" t="str">
        <f>IFERROR(__xludf.DUMMYFUNCTION("TRIM(INDEX(SPLIT(C34,""-""),1))"),"Medan")</f>
        <v>Medan</v>
      </c>
      <c r="H34" s="4" t="s">
        <v>87</v>
      </c>
      <c r="I34" s="3"/>
      <c r="J34" s="7">
        <v>3.5275731</v>
      </c>
      <c r="K34" s="7">
        <v>98.6972519</v>
      </c>
    </row>
    <row r="35">
      <c r="A35" s="3">
        <f t="shared" si="1"/>
        <v>34</v>
      </c>
      <c r="B35" s="4" t="s">
        <v>10</v>
      </c>
      <c r="C35" s="5" t="s">
        <v>88</v>
      </c>
      <c r="D35" s="6" t="s">
        <v>89</v>
      </c>
      <c r="E35" s="3"/>
      <c r="F35" s="3" t="str">
        <f>IFERROR(__xludf.DUMMYFUNCTION("SWITCH(
  TRUE,
  REGEXMATCH(B35,""Brain Academy""),""BAC"",
  REGEXMATCH(B35,""English Academy""),""EAC"",
  """"
)&amp;"" ""&amp;IFERROR(TRIM(INDEX(SPLIT(C35,""-""),2)),C35)"),"BAC Letda Sujono")</f>
        <v>BAC Letda Sujono</v>
      </c>
      <c r="G35" s="3" t="str">
        <f>IFERROR(__xludf.DUMMYFUNCTION("TRIM(INDEX(SPLIT(C35,""-""),1))"),"Medan")</f>
        <v>Medan</v>
      </c>
      <c r="H35" s="3" t="str">
        <f>IFERROR(__xludf.DUMMYFUNCTION("TRIM(INDEX(SPLIT(C35,""-""),2))"),"Letda Sujono")</f>
        <v>Letda Sujono</v>
      </c>
      <c r="I35" s="3"/>
      <c r="J35" s="7">
        <v>3.597750899999999</v>
      </c>
      <c r="K35" s="7">
        <v>98.7106877</v>
      </c>
    </row>
    <row r="36">
      <c r="A36" s="3">
        <f t="shared" si="1"/>
        <v>35</v>
      </c>
      <c r="B36" s="4" t="s">
        <v>10</v>
      </c>
      <c r="C36" s="5" t="s">
        <v>90</v>
      </c>
      <c r="D36" s="6" t="s">
        <v>91</v>
      </c>
      <c r="E36" s="3"/>
      <c r="F36" s="3" t="str">
        <f>IFERROR(__xludf.DUMMYFUNCTION("SWITCH(
  TRUE,
  REGEXMATCH(B36,""Brain Academy""),""BAC"",
  REGEXMATCH(B36,""English Academy""),""EAC"",
  """"
)&amp;"" ""&amp;IFERROR(TRIM(INDEX(SPLIT(C36,""-""),2)),C36)"),"BAC Jambu Air")</f>
        <v>BAC Jambu Air</v>
      </c>
      <c r="G36" s="3" t="str">
        <f>IFERROR(__xludf.DUMMYFUNCTION("TRIM(INDEX(SPLIT(C36,""-""),1))"),"Bukittinggi")</f>
        <v>Bukittinggi</v>
      </c>
      <c r="H36" s="3" t="str">
        <f>IFERROR(__xludf.DUMMYFUNCTION("TRIM(INDEX(SPLIT(C36,""-""),2))"),"Jambu Air")</f>
        <v>Jambu Air</v>
      </c>
      <c r="I36" s="3"/>
      <c r="J36" s="7">
        <v>-0.3257882</v>
      </c>
      <c r="K36" s="7">
        <v>100.3845994</v>
      </c>
    </row>
    <row r="37">
      <c r="A37" s="3">
        <f t="shared" si="1"/>
        <v>36</v>
      </c>
      <c r="B37" s="4" t="s">
        <v>10</v>
      </c>
      <c r="C37" s="5" t="s">
        <v>92</v>
      </c>
      <c r="D37" s="6" t="s">
        <v>93</v>
      </c>
      <c r="E37" s="3"/>
      <c r="F37" s="3" t="str">
        <f>IFERROR(__xludf.DUMMYFUNCTION("SWITCH(
  TRUE,
  REGEXMATCH(B37,""Brain Academy""),""BAC"",
  REGEXMATCH(B37,""English Academy""),""EAC"",
  """"
)&amp;"" ""&amp;IFERROR(TRIM(INDEX(SPLIT(C37,""-""),2)),C37)"),"BAC Jatiasih")</f>
        <v>BAC Jatiasih</v>
      </c>
      <c r="G37" s="3" t="str">
        <f>IFERROR(__xludf.DUMMYFUNCTION("TRIM(INDEX(SPLIT(C37,""-""),1))"),"Bekasi")</f>
        <v>Bekasi</v>
      </c>
      <c r="H37" s="3" t="str">
        <f>IFERROR(__xludf.DUMMYFUNCTION("TRIM(INDEX(SPLIT(C37,""-""),2))"),"Jatiasih")</f>
        <v>Jatiasih</v>
      </c>
      <c r="I37" s="3"/>
      <c r="J37" s="7">
        <v>-6.2847901</v>
      </c>
      <c r="K37" s="7">
        <v>106.968719</v>
      </c>
    </row>
    <row r="38">
      <c r="A38" s="3">
        <f t="shared" si="1"/>
        <v>37</v>
      </c>
      <c r="B38" s="4" t="s">
        <v>10</v>
      </c>
      <c r="C38" s="5" t="s">
        <v>94</v>
      </c>
      <c r="D38" s="6" t="s">
        <v>95</v>
      </c>
      <c r="E38" s="3"/>
      <c r="F38" s="3" t="str">
        <f>IFERROR(__xludf.DUMMYFUNCTION("SWITCH(
  TRUE,
  REGEXMATCH(B38,""Brain Academy""),""BAC"",
  REGEXMATCH(B38,""English Academy""),""EAC"",
  """"
)&amp;"" ""&amp;IFERROR(TRIM(INDEX(SPLIT(C38,""-""),2)),C38)"),"BAC Kemanggisan")</f>
        <v>BAC Kemanggisan</v>
      </c>
      <c r="G38" s="3" t="str">
        <f>IFERROR(__xludf.DUMMYFUNCTION("TRIM(INDEX(SPLIT(C38,""-""),1))"),"Jakarta Barat")</f>
        <v>Jakarta Barat</v>
      </c>
      <c r="H38" s="3" t="str">
        <f>IFERROR(__xludf.DUMMYFUNCTION("TRIM(INDEX(SPLIT(C38,""-""),2))"),"Kemanggisan")</f>
        <v>Kemanggisan</v>
      </c>
      <c r="I38" s="4" t="s">
        <v>96</v>
      </c>
      <c r="J38" s="4">
        <v>-6.189714599999999</v>
      </c>
      <c r="K38" s="4">
        <v>106.7860953</v>
      </c>
    </row>
    <row r="39">
      <c r="A39" s="3">
        <f t="shared" si="1"/>
        <v>38</v>
      </c>
      <c r="B39" s="4" t="s">
        <v>10</v>
      </c>
      <c r="C39" s="5" t="s">
        <v>97</v>
      </c>
      <c r="D39" s="6" t="s">
        <v>98</v>
      </c>
      <c r="E39" s="3"/>
      <c r="F39" s="3" t="str">
        <f>IFERROR(__xludf.DUMMYFUNCTION("SWITCH(
  TRUE,
  REGEXMATCH(B39,""Brain Academy""),""BAC"",
  REGEXMATCH(B39,""English Academy""),""EAC"",
  """"
)&amp;"" ""&amp;IFERROR(TRIM(INDEX(SPLIT(C39,""-""),2)),C39)"),"BAC Fatmawati")</f>
        <v>BAC Fatmawati</v>
      </c>
      <c r="G39" s="3" t="str">
        <f>IFERROR(__xludf.DUMMYFUNCTION("TRIM(INDEX(SPLIT(C39,""-""),1))"),"Jakarta Selatan")</f>
        <v>Jakarta Selatan</v>
      </c>
      <c r="H39" s="3" t="str">
        <f>IFERROR(__xludf.DUMMYFUNCTION("TRIM(INDEX(SPLIT(C39,""-""),2))"),"Fatmawati")</f>
        <v>Fatmawati</v>
      </c>
      <c r="I39" s="4" t="s">
        <v>99</v>
      </c>
      <c r="J39" s="4">
        <v>-6.284027699999999</v>
      </c>
      <c r="K39" s="4">
        <v>106.7964762</v>
      </c>
    </row>
    <row r="40">
      <c r="A40" s="3">
        <f t="shared" si="1"/>
        <v>39</v>
      </c>
      <c r="B40" s="4" t="s">
        <v>10</v>
      </c>
      <c r="C40" s="5" t="s">
        <v>100</v>
      </c>
      <c r="D40" s="6" t="s">
        <v>101</v>
      </c>
      <c r="E40" s="3"/>
      <c r="F40" s="3" t="str">
        <f>IFERROR(__xludf.DUMMYFUNCTION("SWITCH(
  TRUE,
  REGEXMATCH(B40,""Brain Academy""),""BAC"",
  REGEXMATCH(B40,""English Academy""),""EAC"",
  """"
)&amp;"" ""&amp;IFERROR(TRIM(INDEX(SPLIT(C40,""-""),2)),C40)"),"BAC Rawamangun")</f>
        <v>BAC Rawamangun</v>
      </c>
      <c r="G40" s="3" t="str">
        <f>IFERROR(__xludf.DUMMYFUNCTION("TRIM(INDEX(SPLIT(C40,""-""),1))"),"Jakarta Timur")</f>
        <v>Jakarta Timur</v>
      </c>
      <c r="H40" s="3" t="str">
        <f>IFERROR(__xludf.DUMMYFUNCTION("TRIM(INDEX(SPLIT(C40,""-""),2))"),"Rawamangun")</f>
        <v>Rawamangun</v>
      </c>
      <c r="I40" s="4" t="s">
        <v>102</v>
      </c>
      <c r="J40" s="4">
        <v>-6.1946602</v>
      </c>
      <c r="K40" s="4">
        <v>106.8911245</v>
      </c>
    </row>
    <row r="41">
      <c r="A41" s="3">
        <f t="shared" si="1"/>
        <v>40</v>
      </c>
      <c r="B41" s="4" t="s">
        <v>10</v>
      </c>
      <c r="C41" s="5" t="s">
        <v>103</v>
      </c>
      <c r="D41" s="6" t="s">
        <v>104</v>
      </c>
      <c r="E41" s="3"/>
      <c r="F41" s="3" t="str">
        <f>IFERROR(__xludf.DUMMYFUNCTION("SWITCH(
  TRUE,
  REGEXMATCH(B41,""Brain Academy""),""BAC"",
  REGEXMATCH(B41,""English Academy""),""EAC"",
  """"
)&amp;"" ""&amp;IFERROR(TRIM(INDEX(SPLIT(C41,""-""),2)),C41)"),"BAC Duren Sawit")</f>
        <v>BAC Duren Sawit</v>
      </c>
      <c r="G41" s="3" t="str">
        <f>IFERROR(__xludf.DUMMYFUNCTION("TRIM(INDEX(SPLIT(C41,""-""),1))"),"Jakarta Timur")</f>
        <v>Jakarta Timur</v>
      </c>
      <c r="H41" s="3" t="str">
        <f>IFERROR(__xludf.DUMMYFUNCTION("TRIM(INDEX(SPLIT(C41,""-""),2))"),"Duren Sawit")</f>
        <v>Duren Sawit</v>
      </c>
      <c r="I41" s="4" t="s">
        <v>105</v>
      </c>
      <c r="J41" s="4">
        <v>-6.2445292</v>
      </c>
      <c r="K41" s="4">
        <v>106.9199265</v>
      </c>
    </row>
    <row r="42">
      <c r="A42" s="3">
        <f t="shared" si="1"/>
        <v>41</v>
      </c>
      <c r="B42" s="4" t="s">
        <v>10</v>
      </c>
      <c r="C42" s="5" t="s">
        <v>106</v>
      </c>
      <c r="D42" s="6" t="s">
        <v>107</v>
      </c>
      <c r="E42" s="3"/>
      <c r="F42" s="3" t="str">
        <f>IFERROR(__xludf.DUMMYFUNCTION("SWITCH(
  TRUE,
  REGEXMATCH(B42,""Brain Academy""),""BAC"",
  REGEXMATCH(B42,""English Academy""),""EAC"",
  """"
)&amp;"" ""&amp;IFERROR(TRIM(INDEX(SPLIT(C42,""-""),2)),C42)"),"BAC Golden Madrid")</f>
        <v>BAC Golden Madrid</v>
      </c>
      <c r="G42" s="3" t="str">
        <f>IFERROR(__xludf.DUMMYFUNCTION("TRIM(INDEX(SPLIT(C42,""-""),1))"),"Tangerang Selatan")</f>
        <v>Tangerang Selatan</v>
      </c>
      <c r="H42" s="3" t="str">
        <f>IFERROR(__xludf.DUMMYFUNCTION("TRIM(INDEX(SPLIT(C42,""-""),2))"),"Golden Madrid")</f>
        <v>Golden Madrid</v>
      </c>
      <c r="I42" s="3"/>
      <c r="J42" s="7">
        <v>-6.3037908</v>
      </c>
      <c r="K42" s="7">
        <v>106.6856888</v>
      </c>
    </row>
    <row r="43">
      <c r="A43" s="3">
        <f t="shared" si="1"/>
        <v>42</v>
      </c>
      <c r="B43" s="4" t="s">
        <v>10</v>
      </c>
      <c r="C43" s="5" t="s">
        <v>108</v>
      </c>
      <c r="D43" s="6" t="s">
        <v>109</v>
      </c>
      <c r="E43" s="3"/>
      <c r="F43" s="3" t="str">
        <f>IFERROR(__xludf.DUMMYFUNCTION("SWITCH(
  TRUE,
  REGEXMATCH(B43,""Brain Academy""),""BAC"",
  REGEXMATCH(B43,""English Academy""),""EAC"",
  """"
)&amp;"" ""&amp;IFERROR(TRIM(INDEX(SPLIT(C43,""-""),2)),C43)"),"BAC Summarecon")</f>
        <v>BAC Summarecon</v>
      </c>
      <c r="G43" s="3" t="str">
        <f>IFERROR(__xludf.DUMMYFUNCTION("TRIM(INDEX(SPLIT(C43,""-""),1))"),"Bekasi")</f>
        <v>Bekasi</v>
      </c>
      <c r="H43" s="3" t="str">
        <f>IFERROR(__xludf.DUMMYFUNCTION("TRIM(INDEX(SPLIT(C43,""-""),2))"),"Summarecon")</f>
        <v>Summarecon</v>
      </c>
      <c r="I43" s="4" t="s">
        <v>110</v>
      </c>
      <c r="J43" s="4">
        <v>-6.2272018</v>
      </c>
      <c r="K43" s="4">
        <v>107.0047557</v>
      </c>
    </row>
    <row r="44">
      <c r="A44" s="3">
        <f t="shared" si="1"/>
        <v>43</v>
      </c>
      <c r="B44" s="4" t="s">
        <v>10</v>
      </c>
      <c r="C44" s="5" t="s">
        <v>111</v>
      </c>
      <c r="D44" s="6" t="s">
        <v>112</v>
      </c>
      <c r="E44" s="3"/>
      <c r="F44" s="3" t="str">
        <f>IFERROR(__xludf.DUMMYFUNCTION("SWITCH(
  TRUE,
  REGEXMATCH(B44,""Brain Academy""),""BAC"",
  REGEXMATCH(B44,""English Academy""),""EAC"",
  """"
)&amp;"" ""&amp;IFERROR(TRIM(INDEX(SPLIT(C44,""-""),2)),C44)"),"BAC Sawojajar")</f>
        <v>BAC Sawojajar</v>
      </c>
      <c r="G44" s="3" t="str">
        <f>IFERROR(__xludf.DUMMYFUNCTION("TRIM(INDEX(SPLIT(C44,""-""),1))"),"Bogor")</f>
        <v>Bogor</v>
      </c>
      <c r="H44" s="3" t="str">
        <f>IFERROR(__xludf.DUMMYFUNCTION("TRIM(INDEX(SPLIT(C44,""-""),2))"),"Sawojajar")</f>
        <v>Sawojajar</v>
      </c>
      <c r="I44" s="4" t="s">
        <v>113</v>
      </c>
      <c r="J44" s="4">
        <v>-6.5883201</v>
      </c>
      <c r="K44" s="4">
        <v>106.7945703</v>
      </c>
    </row>
    <row r="45">
      <c r="A45" s="3">
        <f t="shared" si="1"/>
        <v>44</v>
      </c>
      <c r="B45" s="4" t="s">
        <v>10</v>
      </c>
      <c r="C45" s="5" t="s">
        <v>114</v>
      </c>
      <c r="D45" s="6" t="s">
        <v>115</v>
      </c>
      <c r="E45" s="3"/>
      <c r="F45" s="3" t="str">
        <f>IFERROR(__xludf.DUMMYFUNCTION("SWITCH(
  TRUE,
  REGEXMATCH(B45,""Brain Academy""),""BAC"",
  REGEXMATCH(B45,""English Academy""),""EAC"",
  """"
)&amp;"" ""&amp;IFERROR(TRIM(INDEX(SPLIT(C45,""-""),2)),C45)"),"BAC Pancoran Mas")</f>
        <v>BAC Pancoran Mas</v>
      </c>
      <c r="G45" s="3" t="str">
        <f>IFERROR(__xludf.DUMMYFUNCTION("TRIM(INDEX(SPLIT(C45,""-""),1))"),"Depok")</f>
        <v>Depok</v>
      </c>
      <c r="H45" s="3" t="str">
        <f>IFERROR(__xludf.DUMMYFUNCTION("TRIM(INDEX(SPLIT(C45,""-""),2))"),"Pancoran Mas")</f>
        <v>Pancoran Mas</v>
      </c>
      <c r="I45" s="3"/>
      <c r="J45" s="7">
        <v>-6.3961127</v>
      </c>
      <c r="K45" s="7">
        <v>106.8142526</v>
      </c>
    </row>
    <row r="46">
      <c r="A46" s="3">
        <f t="shared" si="1"/>
        <v>45</v>
      </c>
      <c r="B46" s="4" t="s">
        <v>10</v>
      </c>
      <c r="C46" s="5" t="s">
        <v>116</v>
      </c>
      <c r="D46" s="6" t="s">
        <v>117</v>
      </c>
      <c r="E46" s="3"/>
      <c r="F46" s="3" t="str">
        <f>IFERROR(__xludf.DUMMYFUNCTION("SWITCH(
  TRUE,
  REGEXMATCH(B46,""Brain Academy""),""BAC"",
  REGEXMATCH(B46,""English Academy""),""EAC"",
  """"
)&amp;"" ""&amp;IFERROR(TRIM(INDEX(SPLIT(C46,""-""),2)),C46)"),"BAC Karadenan")</f>
        <v>BAC Karadenan</v>
      </c>
      <c r="G46" s="3" t="str">
        <f>IFERROR(__xludf.DUMMYFUNCTION("TRIM(INDEX(SPLIT(C46,""-""),1))"),"Cibinong")</f>
        <v>Cibinong</v>
      </c>
      <c r="H46" s="3" t="str">
        <f>IFERROR(__xludf.DUMMYFUNCTION("TRIM(INDEX(SPLIT(C46,""-""),2))"),"Karadenan")</f>
        <v>Karadenan</v>
      </c>
      <c r="I46" s="3"/>
      <c r="J46" s="7">
        <v>-6.5129962</v>
      </c>
      <c r="K46" s="7">
        <v>106.8074369</v>
      </c>
    </row>
    <row r="47">
      <c r="A47" s="3">
        <f t="shared" si="1"/>
        <v>46</v>
      </c>
      <c r="B47" s="4" t="s">
        <v>10</v>
      </c>
      <c r="C47" s="5" t="s">
        <v>118</v>
      </c>
      <c r="D47" s="6" t="s">
        <v>119</v>
      </c>
      <c r="E47" s="3"/>
      <c r="F47" s="3" t="str">
        <f>IFERROR(__xludf.DUMMYFUNCTION("SWITCH(
  TRUE,
  REGEXMATCH(B47,""Brain Academy""),""BAC"",
  REGEXMATCH(B47,""English Academy""),""EAC"",
  """"
)&amp;"" ""&amp;IFERROR(TRIM(INDEX(SPLIT(C47,""-""),2)),C47)"),"BAC Kebon Jahe")</f>
        <v>BAC Kebon Jahe</v>
      </c>
      <c r="G47" s="3" t="str">
        <f>IFERROR(__xludf.DUMMYFUNCTION("TRIM(INDEX(SPLIT(C47,""-""),1))"),"Serang")</f>
        <v>Serang</v>
      </c>
      <c r="H47" s="3" t="str">
        <f>IFERROR(__xludf.DUMMYFUNCTION("TRIM(INDEX(SPLIT(C47,""-""),2))"),"Kebon Jahe")</f>
        <v>Kebon Jahe</v>
      </c>
      <c r="I47" s="3"/>
      <c r="J47" s="7">
        <v>-6.1261234</v>
      </c>
      <c r="K47" s="7">
        <v>106.1585311</v>
      </c>
    </row>
    <row r="48">
      <c r="A48" s="3">
        <f t="shared" si="1"/>
        <v>47</v>
      </c>
      <c r="B48" s="4" t="s">
        <v>10</v>
      </c>
      <c r="C48" s="5" t="s">
        <v>120</v>
      </c>
      <c r="D48" s="6" t="s">
        <v>121</v>
      </c>
      <c r="E48" s="3"/>
      <c r="F48" s="3" t="str">
        <f>IFERROR(__xludf.DUMMYFUNCTION("SWITCH(
  TRUE,
  REGEXMATCH(B48,""Brain Academy""),""BAC"",
  REGEXMATCH(B48,""English Academy""),""EAC"",
  """"
)&amp;"" ""&amp;IFERROR(TRIM(INDEX(SPLIT(C48,""-""),2)),C48)"),"BAC Buahbatu")</f>
        <v>BAC Buahbatu</v>
      </c>
      <c r="G48" s="3" t="str">
        <f>IFERROR(__xludf.DUMMYFUNCTION("TRIM(INDEX(SPLIT(C48,""-""),1))"),"Bandung")</f>
        <v>Bandung</v>
      </c>
      <c r="H48" s="4" t="s">
        <v>122</v>
      </c>
      <c r="I48" s="4" t="s">
        <v>123</v>
      </c>
      <c r="J48" s="4">
        <v>-6.932407299999999</v>
      </c>
      <c r="K48" s="4">
        <v>107.6181089</v>
      </c>
    </row>
    <row r="49">
      <c r="A49" s="3">
        <f t="shared" si="1"/>
        <v>48</v>
      </c>
      <c r="B49" s="4" t="s">
        <v>10</v>
      </c>
      <c r="C49" s="5" t="s">
        <v>124</v>
      </c>
      <c r="D49" s="6" t="s">
        <v>125</v>
      </c>
      <c r="E49" s="3"/>
      <c r="F49" s="3" t="str">
        <f>IFERROR(__xludf.DUMMYFUNCTION("SWITCH(
  TRUE,
  REGEXMATCH(B49,""Brain Academy""),""BAC"",
  REGEXMATCH(B49,""English Academy""),""EAC"",
  """"
)&amp;"" ""&amp;IFERROR(TRIM(INDEX(SPLIT(C49,""-""),2)),C49)"),"BAC Pajajaran")</f>
        <v>BAC Pajajaran</v>
      </c>
      <c r="G49" s="3" t="str">
        <f>IFERROR(__xludf.DUMMYFUNCTION("TRIM(INDEX(SPLIT(C49,""-""),1))"),"Bandung")</f>
        <v>Bandung</v>
      </c>
      <c r="H49" s="4" t="s">
        <v>126</v>
      </c>
      <c r="I49" s="4" t="s">
        <v>127</v>
      </c>
      <c r="J49" s="4">
        <v>-6.907467599999999</v>
      </c>
      <c r="K49" s="4">
        <v>107.5825306</v>
      </c>
    </row>
    <row r="50">
      <c r="A50" s="3">
        <f t="shared" si="1"/>
        <v>49</v>
      </c>
      <c r="B50" s="4" t="s">
        <v>10</v>
      </c>
      <c r="C50" s="5" t="s">
        <v>128</v>
      </c>
      <c r="D50" s="6" t="s">
        <v>129</v>
      </c>
      <c r="E50" s="3"/>
      <c r="F50" s="3" t="str">
        <f>IFERROR(__xludf.DUMMYFUNCTION("SWITCH(
  TRUE,
  REGEXMATCH(B50,""Brain Academy""),""BAC"",
  REGEXMATCH(B50,""English Academy""),""EAC"",
  """"
)&amp;"" ""&amp;IFERROR(TRIM(INDEX(SPLIT(C50,""-""),2)),C50)"),"BAC Wirobrajan")</f>
        <v>BAC Wirobrajan</v>
      </c>
      <c r="G50" s="3" t="str">
        <f>IFERROR(__xludf.DUMMYFUNCTION("TRIM(INDEX(SPLIT(C50,""-""),1))"),"Yogyakarta")</f>
        <v>Yogyakarta</v>
      </c>
      <c r="H50" s="3" t="str">
        <f>IFERROR(__xludf.DUMMYFUNCTION("TRIM(INDEX(SPLIT(C50,""-""),2))"),"Wirobrajan")</f>
        <v>Wirobrajan</v>
      </c>
      <c r="I50" s="4" t="s">
        <v>130</v>
      </c>
      <c r="J50" s="4">
        <v>-7.796554899999999</v>
      </c>
      <c r="K50" s="4">
        <v>110.3525873</v>
      </c>
    </row>
    <row r="51">
      <c r="A51" s="3">
        <f t="shared" si="1"/>
        <v>50</v>
      </c>
      <c r="B51" s="4" t="s">
        <v>10</v>
      </c>
      <c r="C51" s="5" t="s">
        <v>131</v>
      </c>
      <c r="D51" s="6" t="s">
        <v>132</v>
      </c>
      <c r="E51" s="3"/>
      <c r="F51" s="3" t="str">
        <f>IFERROR(__xludf.DUMMYFUNCTION("SWITCH(
  TRUE,
  REGEXMATCH(B51,""Brain Academy""),""BAC"",
  REGEXMATCH(B51,""English Academy""),""EAC"",
  """"
)&amp;"" ""&amp;IFERROR(TRIM(INDEX(SPLIT(C51,""-""),2)),C51)"),"BAC Pandanaran")</f>
        <v>BAC Pandanaran</v>
      </c>
      <c r="G51" s="3" t="str">
        <f>IFERROR(__xludf.DUMMYFUNCTION("TRIM(INDEX(SPLIT(C51,""-""),1))"),"Semarang")</f>
        <v>Semarang</v>
      </c>
      <c r="H51" s="3" t="str">
        <f>IFERROR(__xludf.DUMMYFUNCTION("TRIM(INDEX(SPLIT(C51,""-""),2))"),"Pandanaran")</f>
        <v>Pandanaran</v>
      </c>
      <c r="I51" s="4" t="s">
        <v>133</v>
      </c>
      <c r="J51" s="4">
        <v>-6.987409899999999</v>
      </c>
      <c r="K51" s="4">
        <v>110.416276</v>
      </c>
    </row>
    <row r="52">
      <c r="A52" s="3">
        <f t="shared" si="1"/>
        <v>51</v>
      </c>
      <c r="B52" s="4" t="s">
        <v>10</v>
      </c>
      <c r="C52" s="5" t="s">
        <v>134</v>
      </c>
      <c r="D52" s="6" t="s">
        <v>135</v>
      </c>
      <c r="E52" s="3"/>
      <c r="F52" s="3" t="str">
        <f>IFERROR(__xludf.DUMMYFUNCTION("SWITCH(
  TRUE,
  REGEXMATCH(B52,""Brain Academy""),""BAC"",
  REGEXMATCH(B52,""English Academy""),""EAC"",
  """"
)&amp;"" ""&amp;IFERROR(TRIM(INDEX(SPLIT(C52,""-""),2)),C52)"),"BAC Gajahmada")</f>
        <v>BAC Gajahmada</v>
      </c>
      <c r="G52" s="3" t="str">
        <f>IFERROR(__xludf.DUMMYFUNCTION("TRIM(INDEX(SPLIT(C52,""-""),1))"),"Solo")</f>
        <v>Solo</v>
      </c>
      <c r="H52" s="4" t="s">
        <v>136</v>
      </c>
      <c r="I52" s="3"/>
      <c r="J52" s="7">
        <v>-7.560285899999999</v>
      </c>
      <c r="K52" s="7">
        <v>110.8193041</v>
      </c>
    </row>
    <row r="53">
      <c r="A53" s="3">
        <f t="shared" si="1"/>
        <v>52</v>
      </c>
      <c r="B53" s="4" t="s">
        <v>10</v>
      </c>
      <c r="C53" s="5" t="s">
        <v>137</v>
      </c>
      <c r="D53" s="6" t="s">
        <v>138</v>
      </c>
      <c r="E53" s="3"/>
      <c r="F53" s="3" t="str">
        <f>IFERROR(__xludf.DUMMYFUNCTION("SWITCH(
  TRUE,
  REGEXMATCH(B53,""Brain Academy""),""BAC"",
  REGEXMATCH(B53,""English Academy""),""EAC"",
  """"
)&amp;"" ""&amp;IFERROR(TRIM(INDEX(SPLIT(C53,""-""),2)),C53)"),"BAC Kusuma Bangsa")</f>
        <v>BAC Kusuma Bangsa</v>
      </c>
      <c r="G53" s="3" t="str">
        <f>IFERROR(__xludf.DUMMYFUNCTION("TRIM(INDEX(SPLIT(C53,""-""),1))"),"Surabaya")</f>
        <v>Surabaya</v>
      </c>
      <c r="H53" s="3" t="str">
        <f>IFERROR(__xludf.DUMMYFUNCTION("TRIM(INDEX(SPLIT(C53,""-""),2))"),"Kusuma Bangsa")</f>
        <v>Kusuma Bangsa</v>
      </c>
      <c r="I53" s="4" t="s">
        <v>139</v>
      </c>
      <c r="J53" s="4">
        <v>-7.256808100000001</v>
      </c>
      <c r="K53" s="4">
        <v>112.7508372</v>
      </c>
    </row>
    <row r="54">
      <c r="A54" s="3">
        <f t="shared" si="1"/>
        <v>53</v>
      </c>
      <c r="B54" s="4" t="s">
        <v>10</v>
      </c>
      <c r="C54" s="5" t="s">
        <v>140</v>
      </c>
      <c r="D54" s="6" t="s">
        <v>141</v>
      </c>
      <c r="E54" s="3"/>
      <c r="F54" s="3" t="str">
        <f>IFERROR(__xludf.DUMMYFUNCTION("SWITCH(
  TRUE,
  REGEXMATCH(B54,""Brain Academy""),""BAC"",
  REGEXMATCH(B54,""English Academy""),""EAC"",
  """"
)&amp;"" ""&amp;IFERROR(TRIM(INDEX(SPLIT(C54,""-""),2)),C54)"),"BAC Jemursari")</f>
        <v>BAC Jemursari</v>
      </c>
      <c r="G54" s="3" t="str">
        <f>IFERROR(__xludf.DUMMYFUNCTION("TRIM(INDEX(SPLIT(C54,""-""),1))"),"Surabaya")</f>
        <v>Surabaya</v>
      </c>
      <c r="H54" s="3" t="str">
        <f>IFERROR(__xludf.DUMMYFUNCTION("TRIM(INDEX(SPLIT(C54,""-""),2))"),"Jemursari")</f>
        <v>Jemursari</v>
      </c>
      <c r="I54" s="3"/>
      <c r="J54" s="7">
        <v>-7.320388199999999</v>
      </c>
      <c r="K54" s="7">
        <v>112.7460702</v>
      </c>
    </row>
    <row r="55">
      <c r="A55" s="3">
        <f t="shared" si="1"/>
        <v>54</v>
      </c>
      <c r="B55" s="4" t="s">
        <v>10</v>
      </c>
      <c r="C55" s="5" t="s">
        <v>142</v>
      </c>
      <c r="D55" s="6" t="s">
        <v>143</v>
      </c>
      <c r="E55" s="3"/>
      <c r="F55" s="3" t="str">
        <f>IFERROR(__xludf.DUMMYFUNCTION("SWITCH(
  TRUE,
  REGEXMATCH(B55,""Brain Academy""),""BAC"",
  REGEXMATCH(B55,""English Academy""),""EAC"",
  """"
)&amp;"" ""&amp;IFERROR(TRIM(INDEX(SPLIT(C55,""-""),2)),C55)"),"BAC Klojen")</f>
        <v>BAC Klojen</v>
      </c>
      <c r="G55" s="3" t="str">
        <f>IFERROR(__xludf.DUMMYFUNCTION("TRIM(INDEX(SPLIT(C55,""-""),1))"),"Malang")</f>
        <v>Malang</v>
      </c>
      <c r="H55" s="3" t="str">
        <f>IFERROR(__xludf.DUMMYFUNCTION("TRIM(INDEX(SPLIT(C55,""-""),2))"),"Klojen")</f>
        <v>Klojen</v>
      </c>
      <c r="I55" s="4" t="s">
        <v>144</v>
      </c>
      <c r="J55" s="4">
        <v>-7.9615556</v>
      </c>
      <c r="K55" s="4">
        <v>112.6242493</v>
      </c>
    </row>
    <row r="56">
      <c r="A56" s="3">
        <f t="shared" si="1"/>
        <v>55</v>
      </c>
      <c r="B56" s="4" t="s">
        <v>10</v>
      </c>
      <c r="C56" s="5" t="s">
        <v>145</v>
      </c>
      <c r="D56" s="6" t="s">
        <v>146</v>
      </c>
      <c r="E56" s="3"/>
      <c r="F56" s="3" t="str">
        <f>IFERROR(__xludf.DUMMYFUNCTION("SWITCH(
  TRUE,
  REGEXMATCH(B56,""Brain Academy""),""BAC"",
  REGEXMATCH(B56,""English Academy""),""EAC"",
  """"
)&amp;"" ""&amp;IFERROR(TRIM(INDEX(SPLIT(C56,""-""),2)),C56)"),"BAC Melati")</f>
        <v>BAC Melati</v>
      </c>
      <c r="G56" s="3" t="str">
        <f>IFERROR(__xludf.DUMMYFUNCTION("TRIM(INDEX(SPLIT(C56,""-""),1))"),"Denpasar")</f>
        <v>Denpasar</v>
      </c>
      <c r="H56" s="3" t="str">
        <f>IFERROR(__xludf.DUMMYFUNCTION("TRIM(INDEX(SPLIT(C56,""-""),2))"),"Melati")</f>
        <v>Melati</v>
      </c>
      <c r="I56" s="3"/>
      <c r="J56" s="7">
        <v>-8.653981</v>
      </c>
      <c r="K56" s="7">
        <v>115.222374</v>
      </c>
    </row>
    <row r="57">
      <c r="A57" s="3">
        <f t="shared" si="1"/>
        <v>56</v>
      </c>
      <c r="B57" s="4" t="s">
        <v>10</v>
      </c>
      <c r="C57" s="5" t="s">
        <v>147</v>
      </c>
      <c r="D57" s="6" t="s">
        <v>148</v>
      </c>
      <c r="E57" s="3"/>
      <c r="F57" s="3" t="str">
        <f>IFERROR(__xludf.DUMMYFUNCTION("SWITCH(
  TRUE,
  REGEXMATCH(B57,""Brain Academy""),""BAC"",
  REGEXMATCH(B57,""English Academy""),""EAC"",
  """"
)&amp;"" ""&amp;IFERROR(TRIM(INDEX(SPLIT(C57,""-""),2)),C57)"),"BAC Cendrawasih")</f>
        <v>BAC Cendrawasih</v>
      </c>
      <c r="G57" s="3" t="str">
        <f>IFERROR(__xludf.DUMMYFUNCTION("TRIM(INDEX(SPLIT(C57,""-""),1))"),"Makassar")</f>
        <v>Makassar</v>
      </c>
      <c r="H57" s="3" t="str">
        <f>IFERROR(__xludf.DUMMYFUNCTION("TRIM(INDEX(SPLIT(C57,""-""),2))"),"Cendrawasih")</f>
        <v>Cendrawasih</v>
      </c>
      <c r="I57" s="3"/>
      <c r="J57" s="7">
        <v>-5.1879785</v>
      </c>
      <c r="K57" s="7">
        <v>119.4702425</v>
      </c>
    </row>
    <row r="58">
      <c r="A58" s="3">
        <f t="shared" si="1"/>
        <v>57</v>
      </c>
      <c r="B58" s="4" t="s">
        <v>10</v>
      </c>
      <c r="C58" s="5" t="s">
        <v>149</v>
      </c>
      <c r="D58" s="6" t="s">
        <v>150</v>
      </c>
      <c r="E58" s="3"/>
      <c r="F58" s="3" t="str">
        <f>IFERROR(__xludf.DUMMYFUNCTION("SWITCH(
  TRUE,
  REGEXMATCH(B58,""Brain Academy""),""BAC"",
  REGEXMATCH(B58,""English Academy""),""EAC"",
  """"
)&amp;"" ""&amp;IFERROR(TRIM(INDEX(SPLIT(C58,""-""),2)),C58)"),"BAC Perintis")</f>
        <v>BAC Perintis</v>
      </c>
      <c r="G58" s="3" t="str">
        <f>IFERROR(__xludf.DUMMYFUNCTION("TRIM(INDEX(SPLIT(C58,""-""),1))"),"Makassar")</f>
        <v>Makassar</v>
      </c>
      <c r="H58" s="3" t="str">
        <f>IFERROR(__xludf.DUMMYFUNCTION("TRIM(INDEX(SPLIT(C58,""-""),2))"),"Perintis")</f>
        <v>Perintis</v>
      </c>
      <c r="I58" s="3"/>
      <c r="J58" s="7">
        <v>-5.1412793</v>
      </c>
      <c r="K58" s="7">
        <v>119.4879385</v>
      </c>
    </row>
    <row r="59">
      <c r="A59" s="3">
        <f t="shared" si="1"/>
        <v>58</v>
      </c>
      <c r="B59" s="4" t="s">
        <v>10</v>
      </c>
      <c r="C59" s="5" t="s">
        <v>151</v>
      </c>
      <c r="D59" s="6" t="s">
        <v>152</v>
      </c>
      <c r="E59" s="3"/>
      <c r="F59" s="3" t="str">
        <f>IFERROR(__xludf.DUMMYFUNCTION("SWITCH(
  TRUE,
  REGEXMATCH(B59,""Brain Academy""),""BAC"",
  REGEXMATCH(B59,""English Academy""),""EAC"",
  """"
)&amp;"" ""&amp;IFERROR(TRIM(INDEX(SPLIT(C59,""-""),2)),C59)"),"BAC S. Parman")</f>
        <v>BAC S. Parman</v>
      </c>
      <c r="G59" s="3" t="str">
        <f>IFERROR(__xludf.DUMMYFUNCTION("TRIM(INDEX(SPLIT(C59,""-""),1))"),"Medan")</f>
        <v>Medan</v>
      </c>
      <c r="H59" s="4" t="s">
        <v>153</v>
      </c>
      <c r="I59" s="4" t="s">
        <v>154</v>
      </c>
      <c r="J59" s="4">
        <v>3.5816022</v>
      </c>
      <c r="K59" s="4">
        <v>98.6676758</v>
      </c>
    </row>
    <row r="60">
      <c r="A60" s="3">
        <f t="shared" si="1"/>
        <v>59</v>
      </c>
      <c r="B60" s="4" t="s">
        <v>10</v>
      </c>
      <c r="C60" s="5" t="s">
        <v>155</v>
      </c>
      <c r="D60" s="6" t="s">
        <v>156</v>
      </c>
      <c r="E60" s="3"/>
      <c r="F60" s="3" t="str">
        <f>IFERROR(__xludf.DUMMYFUNCTION("SWITCH(
  TRUE,
  REGEXMATCH(B60,""Brain Academy""),""BAC"",
  REGEXMATCH(B60,""English Academy""),""EAC"",
  """"
)&amp;"" ""&amp;IFERROR(TRIM(INDEX(SPLIT(C60,""-""),2)),C60)"),"BAC Bukit Lama")</f>
        <v>BAC Bukit Lama</v>
      </c>
      <c r="G60" s="3" t="str">
        <f>IFERROR(__xludf.DUMMYFUNCTION("TRIM(INDEX(SPLIT(C60,""-""),1))"),"Palembang")</f>
        <v>Palembang</v>
      </c>
      <c r="H60" s="3" t="str">
        <f>IFERROR(__xludf.DUMMYFUNCTION("TRIM(INDEX(SPLIT(C60,""-""),2))"),"Bukit Lama")</f>
        <v>Bukit Lama</v>
      </c>
      <c r="I60" s="3"/>
      <c r="J60" s="7">
        <v>-2.9880679</v>
      </c>
      <c r="K60" s="7">
        <v>104.7328312</v>
      </c>
    </row>
    <row r="61">
      <c r="A61" s="3">
        <f t="shared" si="1"/>
        <v>60</v>
      </c>
      <c r="B61" s="4" t="s">
        <v>10</v>
      </c>
      <c r="C61" s="5" t="s">
        <v>157</v>
      </c>
      <c r="D61" s="6" t="s">
        <v>158</v>
      </c>
      <c r="E61" s="3"/>
      <c r="F61" s="3" t="str">
        <f>IFERROR(__xludf.DUMMYFUNCTION("SWITCH(
  TRUE,
  REGEXMATCH(B61,""Brain Academy""),""BAC"",
  REGEXMATCH(B61,""English Academy""),""EAC"",
  """"
)&amp;"" ""&amp;IFERROR(TRIM(INDEX(SPLIT(C61,""-""),2)),C61)"),"BAC Basuki Rahmat")</f>
        <v>BAC Basuki Rahmat</v>
      </c>
      <c r="G61" s="3" t="str">
        <f>IFERROR(__xludf.DUMMYFUNCTION("TRIM(INDEX(SPLIT(C61,""-""),1))"),"Palembang")</f>
        <v>Palembang</v>
      </c>
      <c r="H61" s="3" t="str">
        <f>IFERROR(__xludf.DUMMYFUNCTION("TRIM(INDEX(SPLIT(C61,""-""),2))"),"Basuki Rahmat")</f>
        <v>Basuki Rahmat</v>
      </c>
      <c r="I61" s="3"/>
      <c r="J61" s="7">
        <v>-2.9537582</v>
      </c>
      <c r="K61" s="7">
        <v>104.7467036</v>
      </c>
    </row>
    <row r="62">
      <c r="A62" s="3">
        <f t="shared" si="1"/>
        <v>61</v>
      </c>
      <c r="B62" s="4" t="s">
        <v>10</v>
      </c>
      <c r="C62" s="5" t="s">
        <v>159</v>
      </c>
      <c r="D62" s="6" t="s">
        <v>160</v>
      </c>
      <c r="E62" s="3"/>
      <c r="F62" s="3" t="str">
        <f>IFERROR(__xludf.DUMMYFUNCTION("SWITCH(
  TRUE,
  REGEXMATCH(B62,""Brain Academy""),""BAC"",
  REGEXMATCH(B62,""English Academy""),""EAC"",
  """"
)&amp;"" ""&amp;IFERROR(TRIM(INDEX(SPLIT(C62,""-""),2)),C62)"),"BAC S. Parman")</f>
        <v>BAC S. Parman</v>
      </c>
      <c r="G62" s="3" t="str">
        <f>IFERROR(__xludf.DUMMYFUNCTION("TRIM(INDEX(SPLIT(C62,""-""),1))"),"Padang")</f>
        <v>Padang</v>
      </c>
      <c r="H62" s="3" t="str">
        <f>IFERROR(__xludf.DUMMYFUNCTION("TRIM(INDEX(SPLIT(C62,""-""),2))"),"S. Parman")</f>
        <v>S. Parman</v>
      </c>
      <c r="I62" s="3"/>
      <c r="J62" s="7">
        <v>-0.9154164</v>
      </c>
      <c r="K62" s="7">
        <v>100.3499964</v>
      </c>
    </row>
    <row r="63">
      <c r="A63" s="3">
        <f t="shared" si="1"/>
        <v>62</v>
      </c>
      <c r="B63" s="4" t="s">
        <v>10</v>
      </c>
      <c r="C63" s="5" t="s">
        <v>161</v>
      </c>
      <c r="D63" s="6" t="s">
        <v>162</v>
      </c>
      <c r="E63" s="3"/>
      <c r="F63" s="3" t="str">
        <f>IFERROR(__xludf.DUMMYFUNCTION("SWITCH(
  TRUE,
  REGEXMATCH(B63,""Brain Academy""),""BAC"",
  REGEXMATCH(B63,""English Academy""),""EAC"",
  """"
)&amp;"" ""&amp;IFERROR(TRIM(INDEX(SPLIT(C63,""-""),2)),C63)"),"BAC Gatot Subroto")</f>
        <v>BAC Gatot Subroto</v>
      </c>
      <c r="G63" s="3" t="str">
        <f>IFERROR(__xludf.DUMMYFUNCTION("TRIM(INDEX(SPLIT(C63,""-""),1))"),"Banjarmasin")</f>
        <v>Banjarmasin</v>
      </c>
      <c r="H63" s="3" t="str">
        <f>IFERROR(__xludf.DUMMYFUNCTION("TRIM(INDEX(SPLIT(C63,""-""),2))"),"Gatot Subroto")</f>
        <v>Gatot Subroto</v>
      </c>
      <c r="I63" s="3"/>
      <c r="J63" s="7">
        <v>-3.325298</v>
      </c>
      <c r="K63" s="7">
        <v>114.6173662</v>
      </c>
    </row>
    <row r="64">
      <c r="A64" s="3">
        <f t="shared" si="1"/>
        <v>63</v>
      </c>
      <c r="B64" s="4" t="s">
        <v>10</v>
      </c>
      <c r="C64" s="5" t="s">
        <v>163</v>
      </c>
      <c r="D64" s="6" t="s">
        <v>164</v>
      </c>
      <c r="E64" s="3"/>
      <c r="F64" s="3" t="str">
        <f>IFERROR(__xludf.DUMMYFUNCTION("SWITCH(
  TRUE,
  REGEXMATCH(B64,""Brain Academy""),""BAC"",
  REGEXMATCH(B64,""English Academy""),""EAC"",
  """"
)&amp;"" ""&amp;IFERROR(TRIM(INDEX(SPLIT(C64,""-""),2)),C64)"),"BAC Wenang Selatan")</f>
        <v>BAC Wenang Selatan</v>
      </c>
      <c r="G64" s="3" t="str">
        <f>IFERROR(__xludf.DUMMYFUNCTION("TRIM(INDEX(SPLIT(C64,""-""),1))"),"Manado")</f>
        <v>Manado</v>
      </c>
      <c r="H64" s="3" t="str">
        <f>IFERROR(__xludf.DUMMYFUNCTION("TRIM(INDEX(SPLIT(C64,""-""),2))"),"Wenang Selatan")</f>
        <v>Wenang Selatan</v>
      </c>
      <c r="I64" s="3"/>
      <c r="J64" s="7">
        <v>1.481366</v>
      </c>
      <c r="K64" s="7">
        <v>124.8365651</v>
      </c>
    </row>
    <row r="65">
      <c r="A65" s="3">
        <f t="shared" si="1"/>
        <v>64</v>
      </c>
      <c r="B65" s="4" t="s">
        <v>10</v>
      </c>
      <c r="C65" s="5" t="s">
        <v>165</v>
      </c>
      <c r="D65" s="6" t="s">
        <v>166</v>
      </c>
      <c r="E65" s="3"/>
      <c r="F65" s="3" t="str">
        <f>IFERROR(__xludf.DUMMYFUNCTION("SWITCH(
  TRUE,
  REGEXMATCH(B65,""Brain Academy""),""BAC"",
  REGEXMATCH(B65,""English Academy""),""EAC"",
  """"
)&amp;"" ""&amp;IFERROR(TRIM(INDEX(SPLIT(C65,""-""),2)),C65)"),"BAC MT Haryono")</f>
        <v>BAC MT Haryono</v>
      </c>
      <c r="G65" s="3" t="str">
        <f>IFERROR(__xludf.DUMMYFUNCTION("TRIM(INDEX(SPLIT(C65,""-""),1))"),"Pontianak")</f>
        <v>Pontianak</v>
      </c>
      <c r="H65" s="3" t="str">
        <f>IFERROR(__xludf.DUMMYFUNCTION("TRIM(INDEX(SPLIT(C65,""-""),2))"),"MT Haryono")</f>
        <v>MT Haryono</v>
      </c>
      <c r="I65" s="3"/>
      <c r="J65" s="7">
        <v>-0.0467253</v>
      </c>
      <c r="K65" s="7">
        <v>109.3333087</v>
      </c>
    </row>
    <row r="66">
      <c r="A66" s="3">
        <f t="shared" si="1"/>
        <v>65</v>
      </c>
      <c r="B66" s="4" t="s">
        <v>10</v>
      </c>
      <c r="C66" s="5" t="s">
        <v>167</v>
      </c>
      <c r="D66" s="6" t="s">
        <v>168</v>
      </c>
      <c r="E66" s="3"/>
      <c r="F66" s="3" t="str">
        <f>IFERROR(__xludf.DUMMYFUNCTION("SWITCH(
  TRUE,
  REGEXMATCH(B66,""Brain Academy""),""BAC"",
  REGEXMATCH(B66,""English Academy""),""EAC"",
  """"
)&amp;"" ""&amp;IFERROR(TRIM(INDEX(SPLIT(C66,""-""),2)),C66)"),"BAC Teuku Nyak Arief")</f>
        <v>BAC Teuku Nyak Arief</v>
      </c>
      <c r="G66" s="3" t="str">
        <f>IFERROR(__xludf.DUMMYFUNCTION("TRIM(INDEX(SPLIT(C66,""-""),1))"),"Banda Aceh")</f>
        <v>Banda Aceh</v>
      </c>
      <c r="H66" s="3" t="str">
        <f>IFERROR(__xludf.DUMMYFUNCTION("TRIM(INDEX(SPLIT(C66,""-""),2))"),"Teuku Nyak Arief")</f>
        <v>Teuku Nyak Arief</v>
      </c>
      <c r="I66" s="3"/>
      <c r="J66" s="7">
        <v>5.5710647</v>
      </c>
      <c r="K66" s="7">
        <v>95.3584946</v>
      </c>
    </row>
    <row r="67">
      <c r="A67" s="3">
        <f t="shared" si="1"/>
        <v>66</v>
      </c>
      <c r="B67" s="4" t="s">
        <v>10</v>
      </c>
      <c r="C67" s="5" t="s">
        <v>169</v>
      </c>
      <c r="D67" s="6" t="s">
        <v>170</v>
      </c>
      <c r="E67" s="3"/>
      <c r="F67" s="3" t="str">
        <f>IFERROR(__xludf.DUMMYFUNCTION("SWITCH(
  TRUE,
  REGEXMATCH(B67,""Brain Academy""),""BAC"",
  REGEXMATCH(B67,""English Academy""),""EAC"",
  """"
)&amp;"" ""&amp;IFERROR(TRIM(INDEX(SPLIT(C67,""-""),2)),C67)"),"BAC Mustika")</f>
        <v>BAC Mustika</v>
      </c>
      <c r="G67" s="3" t="str">
        <f>IFERROR(__xludf.DUMMYFUNCTION("TRIM(INDEX(SPLIT(C67,""-""),1))"),"Pekanbaru")</f>
        <v>Pekanbaru</v>
      </c>
      <c r="H67" s="3" t="str">
        <f>IFERROR(__xludf.DUMMYFUNCTION("TRIM(INDEX(SPLIT(C67,""-""),2))"),"Mustika")</f>
        <v>Mustika</v>
      </c>
      <c r="I67" s="3"/>
      <c r="J67" s="7">
        <v>0.5211191</v>
      </c>
      <c r="K67" s="7">
        <v>101.4501499</v>
      </c>
    </row>
    <row r="68">
      <c r="A68" s="3">
        <f t="shared" si="1"/>
        <v>67</v>
      </c>
      <c r="B68" s="4" t="s">
        <v>10</v>
      </c>
      <c r="C68" s="5" t="s">
        <v>171</v>
      </c>
      <c r="D68" s="6" t="s">
        <v>172</v>
      </c>
      <c r="E68" s="3"/>
      <c r="F68" s="3" t="str">
        <f>IFERROR(__xludf.DUMMYFUNCTION("SWITCH(
  TRUE,
  REGEXMATCH(B68,""Brain Academy""),""BAC"",
  REGEXMATCH(B68,""English Academy""),""EAC"",
  """"
)&amp;"" ""&amp;IFERROR(TRIM(INDEX(SPLIT(C68,""-""),2)),C68)"),"BAC Soekarno Hatta")</f>
        <v>BAC Soekarno Hatta</v>
      </c>
      <c r="G68" s="3" t="str">
        <f>IFERROR(__xludf.DUMMYFUNCTION("TRIM(INDEX(SPLIT(C68,""-""),1))"),"Pekanbaru")</f>
        <v>Pekanbaru</v>
      </c>
      <c r="H68" s="3" t="str">
        <f>IFERROR(__xludf.DUMMYFUNCTION("TRIM(INDEX(SPLIT(C68,""-""),2))"),"Soekarno Hatta")</f>
        <v>Soekarno Hatta</v>
      </c>
      <c r="I68" s="3"/>
      <c r="J68" s="7">
        <v>0.5158423999999999</v>
      </c>
      <c r="K68" s="7">
        <v>101.4192778</v>
      </c>
    </row>
    <row r="69">
      <c r="A69" s="3">
        <f t="shared" si="1"/>
        <v>68</v>
      </c>
      <c r="B69" s="4" t="s">
        <v>10</v>
      </c>
      <c r="C69" s="5" t="s">
        <v>173</v>
      </c>
      <c r="D69" s="6" t="s">
        <v>174</v>
      </c>
      <c r="E69" s="3"/>
      <c r="F69" s="3" t="str">
        <f>IFERROR(__xludf.DUMMYFUNCTION("SWITCH(
  TRUE,
  REGEXMATCH(B69,""Brain Academy""),""BAC"",
  REGEXMATCH(B69,""English Academy""),""EAC"",
  """"
)&amp;"" ""&amp;IFERROR(TRIM(INDEX(SPLIT(C69,""-""),2)),C69)"),"BAC Sumur Batu")</f>
        <v>BAC Sumur Batu</v>
      </c>
      <c r="G69" s="3" t="str">
        <f>IFERROR(__xludf.DUMMYFUNCTION("TRIM(INDEX(SPLIT(C69,""-""),1))"),"Bandar Lampung")</f>
        <v>Bandar Lampung</v>
      </c>
      <c r="H69" s="3" t="str">
        <f>IFERROR(__xludf.DUMMYFUNCTION("TRIM(INDEX(SPLIT(C69,""-""),2))"),"Sumur Batu")</f>
        <v>Sumur Batu</v>
      </c>
      <c r="I69" s="3"/>
      <c r="J69" s="7">
        <v>-5.4372438</v>
      </c>
      <c r="K69" s="7">
        <v>105.2653721</v>
      </c>
    </row>
    <row r="70">
      <c r="A70" s="3">
        <f t="shared" si="1"/>
        <v>69</v>
      </c>
      <c r="B70" s="4" t="s">
        <v>10</v>
      </c>
      <c r="C70" s="5" t="s">
        <v>175</v>
      </c>
      <c r="D70" s="6" t="s">
        <v>176</v>
      </c>
      <c r="E70" s="3"/>
      <c r="F70" s="3" t="str">
        <f>IFERROR(__xludf.DUMMYFUNCTION("SWITCH(
  TRUE,
  REGEXMATCH(B70,""Brain Academy""),""BAC"",
  REGEXMATCH(B70,""English Academy""),""EAC"",
  """"
)&amp;"" ""&amp;IFERROR(TRIM(INDEX(SPLIT(C70,""-""),2)),C70)"),"BAC Sutomo")</f>
        <v>BAC Sutomo</v>
      </c>
      <c r="G70" s="3" t="str">
        <f>IFERROR(__xludf.DUMMYFUNCTION("TRIM(INDEX(SPLIT(C70,""-""),1))"),"Pematangsiantar")</f>
        <v>Pematangsiantar</v>
      </c>
      <c r="H70" s="3" t="str">
        <f>IFERROR(__xludf.DUMMYFUNCTION("TRIM(INDEX(SPLIT(C70,""-""),2))"),"Sutomo")</f>
        <v>Sutomo</v>
      </c>
      <c r="I70" s="3"/>
      <c r="J70" s="7">
        <v>2.9550633</v>
      </c>
      <c r="K70" s="7">
        <v>99.06222299999999</v>
      </c>
    </row>
    <row r="71">
      <c r="A71" s="3">
        <f t="shared" si="1"/>
        <v>70</v>
      </c>
      <c r="B71" s="4" t="s">
        <v>10</v>
      </c>
      <c r="C71" s="5" t="s">
        <v>177</v>
      </c>
      <c r="D71" s="6" t="s">
        <v>178</v>
      </c>
      <c r="E71" s="3"/>
      <c r="F71" s="3" t="str">
        <f>IFERROR(__xludf.DUMMYFUNCTION("SWITCH(
  TRUE,
  REGEXMATCH(B71,""Brain Academy""),""BAC"",
  REGEXMATCH(B71,""English Academy""),""EAC"",
  """"
)&amp;"" ""&amp;IFERROR(TRIM(INDEX(SPLIT(C71,""-""),2)),C71)"),"BAC Sungai Ampal")</f>
        <v>BAC Sungai Ampal</v>
      </c>
      <c r="G71" s="3" t="str">
        <f>IFERROR(__xludf.DUMMYFUNCTION("TRIM(INDEX(SPLIT(C71,""-""),1))"),"Balikpapan")</f>
        <v>Balikpapan</v>
      </c>
      <c r="H71" s="3" t="str">
        <f>IFERROR(__xludf.DUMMYFUNCTION("TRIM(INDEX(SPLIT(C71,""-""),2))"),"Sungai Ampal")</f>
        <v>Sungai Ampal</v>
      </c>
      <c r="I71" s="3"/>
      <c r="J71" s="7">
        <v>-1.2470574</v>
      </c>
      <c r="K71" s="7">
        <v>116.8537584</v>
      </c>
    </row>
    <row r="72">
      <c r="A72" s="3">
        <f t="shared" si="1"/>
        <v>71</v>
      </c>
      <c r="B72" s="4" t="s">
        <v>10</v>
      </c>
      <c r="C72" s="5" t="s">
        <v>179</v>
      </c>
      <c r="D72" s="6" t="s">
        <v>180</v>
      </c>
      <c r="E72" s="3"/>
      <c r="F72" s="3" t="str">
        <f>IFERROR(__xludf.DUMMYFUNCTION("SWITCH(
  TRUE,
  REGEXMATCH(B72,""Brain Academy""),""BAC"",
  REGEXMATCH(B72,""English Academy""),""EAC"",
  """"
)&amp;"" ""&amp;IFERROR(TRIM(INDEX(SPLIT(C72,""-""),2)),C72)"),"BAC Citra Raya")</f>
        <v>BAC Citra Raya</v>
      </c>
      <c r="G72" s="3" t="str">
        <f>IFERROR(__xludf.DUMMYFUNCTION("TRIM(INDEX(SPLIT(C72,""-""),1))"),"Tangerang")</f>
        <v>Tangerang</v>
      </c>
      <c r="H72" s="3" t="str">
        <f>IFERROR(__xludf.DUMMYFUNCTION("TRIM(INDEX(SPLIT(C72,""-""),2))"),"Citra Raya")</f>
        <v>Citra Raya</v>
      </c>
      <c r="I72" s="3"/>
      <c r="J72" s="7">
        <v>-6.320635299999999</v>
      </c>
      <c r="K72" s="7">
        <v>106.4205891</v>
      </c>
    </row>
    <row r="73">
      <c r="A73" s="3">
        <f t="shared" si="1"/>
        <v>72</v>
      </c>
      <c r="B73" s="4" t="s">
        <v>10</v>
      </c>
      <c r="C73" s="5" t="s">
        <v>181</v>
      </c>
      <c r="D73" s="6" t="s">
        <v>182</v>
      </c>
      <c r="E73" s="3"/>
      <c r="F73" s="3" t="str">
        <f>IFERROR(__xludf.DUMMYFUNCTION("SWITCH(
  TRUE,
  REGEXMATCH(B73,""Brain Academy""),""BAC"",
  REGEXMATCH(B73,""English Academy""),""EAC"",
  """"
)&amp;"" ""&amp;IFERROR(TRIM(INDEX(SPLIT(C73,""-""),2)),C73)"),"BAC Sutomo")</f>
        <v>BAC Sutomo</v>
      </c>
      <c r="G73" s="3" t="str">
        <f>IFERROR(__xludf.DUMMYFUNCTION("TRIM(INDEX(SPLIT(C73,""-""),1))"),"Madiun")</f>
        <v>Madiun</v>
      </c>
      <c r="H73" s="3" t="str">
        <f>IFERROR(__xludf.DUMMYFUNCTION("TRIM(INDEX(SPLIT(C73,""-""),2))"),"Sutomo")</f>
        <v>Sutomo</v>
      </c>
      <c r="I73" s="3"/>
      <c r="J73" s="7">
        <v>-7.6202388</v>
      </c>
      <c r="K73" s="7">
        <v>111.5245248</v>
      </c>
    </row>
    <row r="74">
      <c r="A74" s="3">
        <f t="shared" si="1"/>
        <v>73</v>
      </c>
      <c r="B74" s="4" t="s">
        <v>10</v>
      </c>
      <c r="C74" s="5" t="s">
        <v>183</v>
      </c>
      <c r="D74" s="6" t="s">
        <v>184</v>
      </c>
      <c r="E74" s="3"/>
      <c r="F74" s="3" t="str">
        <f>IFERROR(__xludf.DUMMYFUNCTION("SWITCH(
  TRUE,
  REGEXMATCH(B74,""Brain Academy""),""BAC"",
  REGEXMATCH(B74,""English Academy""),""EAC"",
  """"
)&amp;"" ""&amp;IFERROR(TRIM(INDEX(SPLIT(C74,""-""),2)),C74)"),"BAC Galaxy")</f>
        <v>BAC Galaxy</v>
      </c>
      <c r="G74" s="3" t="str">
        <f>IFERROR(__xludf.DUMMYFUNCTION("TRIM(INDEX(SPLIT(C74,""-""),1))"),"Bekasi")</f>
        <v>Bekasi</v>
      </c>
      <c r="H74" s="3" t="str">
        <f>IFERROR(__xludf.DUMMYFUNCTION("TRIM(INDEX(SPLIT(C74,""-""),2))"),"Galaxy")</f>
        <v>Galaxy</v>
      </c>
      <c r="I74" s="4" t="s">
        <v>185</v>
      </c>
      <c r="J74" s="4">
        <v>-6.2669276</v>
      </c>
      <c r="K74" s="4">
        <v>106.971831</v>
      </c>
    </row>
    <row r="75">
      <c r="A75" s="3">
        <f t="shared" si="1"/>
        <v>74</v>
      </c>
      <c r="B75" s="4" t="s">
        <v>10</v>
      </c>
      <c r="C75" s="5" t="s">
        <v>186</v>
      </c>
      <c r="D75" s="6" t="s">
        <v>187</v>
      </c>
      <c r="E75" s="3"/>
      <c r="F75" s="3" t="str">
        <f>IFERROR(__xludf.DUMMYFUNCTION("SWITCH(
  TRUE,
  REGEXMATCH(B75,""Brain Academy""),""BAC"",
  REGEXMATCH(B75,""English Academy""),""EAC"",
  """"
)&amp;"" ""&amp;IFERROR(TRIM(INDEX(SPLIT(C75,""-""),2)),C75)"),"BAC Prabu Geusan Ulun")</f>
        <v>BAC Prabu Geusan Ulun</v>
      </c>
      <c r="G75" s="3" t="str">
        <f>IFERROR(__xludf.DUMMYFUNCTION("TRIM(INDEX(SPLIT(C75,""-""),1))"),"Sumedang")</f>
        <v>Sumedang</v>
      </c>
      <c r="H75" s="3" t="str">
        <f>IFERROR(__xludf.DUMMYFUNCTION("TRIM(INDEX(SPLIT(C75,""-""),2))"),"Prabu Geusan Ulun")</f>
        <v>Prabu Geusan Ulun</v>
      </c>
      <c r="I75" s="3"/>
      <c r="J75" s="7">
        <v>-6.852543799999999</v>
      </c>
      <c r="K75" s="7">
        <v>107.9225148</v>
      </c>
    </row>
    <row r="76">
      <c r="A76" s="3">
        <f t="shared" si="1"/>
        <v>75</v>
      </c>
      <c r="B76" s="4" t="s">
        <v>10</v>
      </c>
      <c r="C76" s="5" t="s">
        <v>188</v>
      </c>
      <c r="D76" s="6" t="s">
        <v>189</v>
      </c>
      <c r="E76" s="3"/>
      <c r="F76" s="3" t="str">
        <f>IFERROR(__xludf.DUMMYFUNCTION("SWITCH(
  TRUE,
  REGEXMATCH(B76,""Brain Academy""),""BAC"",
  REGEXMATCH(B76,""English Academy""),""EAC"",
  """"
)&amp;"" ""&amp;IFERROR(TRIM(INDEX(SPLIT(C76,""-""),2)),C76)"),"BAC Jayanegara")</f>
        <v>BAC Jayanegara</v>
      </c>
      <c r="G76" s="3" t="str">
        <f>IFERROR(__xludf.DUMMYFUNCTION("TRIM(INDEX(SPLIT(C76,""-""),1))"),"Mojokerto")</f>
        <v>Mojokerto</v>
      </c>
      <c r="H76" s="3" t="str">
        <f>IFERROR(__xludf.DUMMYFUNCTION("TRIM(INDEX(SPLIT(C76,""-""),2))"),"Jayanegara")</f>
        <v>Jayanegara</v>
      </c>
      <c r="I76" s="3"/>
      <c r="J76" s="7">
        <v>-7.4859165</v>
      </c>
      <c r="K76" s="7">
        <v>112.4397994</v>
      </c>
    </row>
    <row r="77">
      <c r="A77" s="3">
        <f t="shared" si="1"/>
        <v>76</v>
      </c>
      <c r="B77" s="4" t="s">
        <v>10</v>
      </c>
      <c r="C77" s="5" t="s">
        <v>190</v>
      </c>
      <c r="D77" s="6" t="s">
        <v>191</v>
      </c>
      <c r="E77" s="3"/>
      <c r="F77" s="3" t="str">
        <f>IFERROR(__xludf.DUMMYFUNCTION("SWITCH(
  TRUE,
  REGEXMATCH(B77,""Brain Academy""),""BAC"",
  REGEXMATCH(B77,""English Academy""),""EAC"",
  """"
)&amp;"" ""&amp;IFERROR(TRIM(INDEX(SPLIT(C77,""-""),2)),C77)"),"BAC Sario")</f>
        <v>BAC Sario</v>
      </c>
      <c r="G77" s="3" t="str">
        <f>IFERROR(__xludf.DUMMYFUNCTION("TRIM(INDEX(SPLIT(C77,""-""),1))"),"Manado")</f>
        <v>Manado</v>
      </c>
      <c r="H77" s="3" t="str">
        <f>IFERROR(__xludf.DUMMYFUNCTION("TRIM(INDEX(SPLIT(C77,""-""),2))"),"Sario")</f>
        <v>Sario</v>
      </c>
      <c r="I77" s="3"/>
      <c r="J77" s="7">
        <v>1.463629</v>
      </c>
      <c r="K77" s="7">
        <v>124.8295146</v>
      </c>
    </row>
    <row r="78">
      <c r="A78" s="3">
        <f t="shared" si="1"/>
        <v>77</v>
      </c>
      <c r="B78" s="4" t="s">
        <v>10</v>
      </c>
      <c r="C78" s="5" t="s">
        <v>192</v>
      </c>
      <c r="D78" s="6" t="s">
        <v>193</v>
      </c>
      <c r="E78" s="3"/>
      <c r="F78" s="3" t="str">
        <f>IFERROR(__xludf.DUMMYFUNCTION("SWITCH(
  TRUE,
  REGEXMATCH(B78,""Brain Academy""),""BAC"",
  REGEXMATCH(B78,""English Academy""),""EAC"",
  """"
)&amp;"" ""&amp;IFERROR(TRIM(INDEX(SPLIT(C78,""-""),2)),C78)"),"BAC Kebon Jeruk")</f>
        <v>BAC Kebon Jeruk</v>
      </c>
      <c r="G78" s="3" t="str">
        <f>IFERROR(__xludf.DUMMYFUNCTION("TRIM(INDEX(SPLIT(C78,""-""),1))"),"Jakarta Barat")</f>
        <v>Jakarta Barat</v>
      </c>
      <c r="H78" s="3" t="str">
        <f>IFERROR(__xludf.DUMMYFUNCTION("TRIM(INDEX(SPLIT(C78,""-""),2))"),"Kebon Jeruk")</f>
        <v>Kebon Jeruk</v>
      </c>
      <c r="I78" s="4" t="s">
        <v>194</v>
      </c>
      <c r="J78" s="4">
        <v>-6.1972628</v>
      </c>
      <c r="K78" s="4">
        <v>106.7662703</v>
      </c>
    </row>
    <row r="79">
      <c r="A79" s="3">
        <f t="shared" si="1"/>
        <v>78</v>
      </c>
      <c r="B79" s="4" t="s">
        <v>10</v>
      </c>
      <c r="C79" s="5" t="s">
        <v>195</v>
      </c>
      <c r="D79" s="6" t="s">
        <v>196</v>
      </c>
      <c r="E79" s="3"/>
      <c r="F79" s="3" t="str">
        <f>IFERROR(__xludf.DUMMYFUNCTION("SWITCH(
  TRUE,
  REGEXMATCH(B79,""Brain Academy""),""BAC"",
  REGEXMATCH(B79,""English Academy""),""EAC"",
  """"
)&amp;"" ""&amp;IFERROR(TRIM(INDEX(SPLIT(C79,""-""),2)),C79)"),"BAC Sunter")</f>
        <v>BAC Sunter</v>
      </c>
      <c r="G79" s="3" t="str">
        <f>IFERROR(__xludf.DUMMYFUNCTION("TRIM(INDEX(SPLIT(C79,""-""),1))"),"Jakarta Utara")</f>
        <v>Jakarta Utara</v>
      </c>
      <c r="H79" s="3" t="str">
        <f>IFERROR(__xludf.DUMMYFUNCTION("TRIM(INDEX(SPLIT(C79,""-""),2))"),"Sunter")</f>
        <v>Sunter</v>
      </c>
      <c r="I79" s="3"/>
      <c r="J79" s="7">
        <v>-6.1383433</v>
      </c>
      <c r="K79" s="7">
        <v>106.8648169</v>
      </c>
    </row>
    <row r="80">
      <c r="A80" s="3">
        <f t="shared" si="1"/>
        <v>79</v>
      </c>
      <c r="B80" s="4" t="s">
        <v>10</v>
      </c>
      <c r="C80" s="5" t="s">
        <v>197</v>
      </c>
      <c r="D80" s="6" t="s">
        <v>198</v>
      </c>
      <c r="E80" s="3"/>
      <c r="F80" s="3" t="str">
        <f>IFERROR(__xludf.DUMMYFUNCTION("SWITCH(
  TRUE,
  REGEXMATCH(B80,""Brain Academy""),""BAC"",
  REGEXMATCH(B80,""English Academy""),""EAC"",
  """"
)&amp;"" ""&amp;IFERROR(TRIM(INDEX(SPLIT(C80,""-""),2)),C80)"),"BAC Sipin")</f>
        <v>BAC Sipin</v>
      </c>
      <c r="G80" s="3" t="str">
        <f>IFERROR(__xludf.DUMMYFUNCTION("TRIM(INDEX(SPLIT(C80,""-""),1))"),"Jambi")</f>
        <v>Jambi</v>
      </c>
      <c r="H80" s="3" t="str">
        <f>IFERROR(__xludf.DUMMYFUNCTION("TRIM(INDEX(SPLIT(C80,""-""),2))"),"Sipin")</f>
        <v>Sipin</v>
      </c>
      <c r="I80" s="3"/>
      <c r="J80" s="7">
        <v>-1.6209028</v>
      </c>
      <c r="K80" s="7">
        <v>103.5858595</v>
      </c>
    </row>
    <row r="81">
      <c r="A81" s="3">
        <f t="shared" si="1"/>
        <v>80</v>
      </c>
      <c r="B81" s="4" t="s">
        <v>10</v>
      </c>
      <c r="C81" s="5" t="s">
        <v>199</v>
      </c>
      <c r="D81" s="6" t="s">
        <v>200</v>
      </c>
      <c r="E81" s="3"/>
      <c r="F81" s="3" t="str">
        <f>IFERROR(__xludf.DUMMYFUNCTION("SWITCH(
  TRUE,
  REGEXMATCH(B81,""Brain Academy""),""BAC"",
  REGEXMATCH(B81,""English Academy""),""EAC"",
  """"
)&amp;"" ""&amp;IFERROR(TRIM(INDEX(SPLIT(C81,""-""),2)),C81)"),"BAC Poros Bolu")</f>
        <v>BAC Poros Bolu</v>
      </c>
      <c r="G81" s="3" t="str">
        <f>IFERROR(__xludf.DUMMYFUNCTION("TRIM(INDEX(SPLIT(C81,""-""),1))"),"Toraja Utara")</f>
        <v>Toraja Utara</v>
      </c>
      <c r="H81" s="3" t="str">
        <f>IFERROR(__xludf.DUMMYFUNCTION("TRIM(INDEX(SPLIT(C81,""-""),2))"),"Poros Bolu")</f>
        <v>Poros Bolu</v>
      </c>
      <c r="I81" s="3"/>
      <c r="J81" s="7">
        <v>-2.959364</v>
      </c>
      <c r="K81" s="7">
        <v>119.9135181</v>
      </c>
    </row>
    <row r="82">
      <c r="A82" s="3">
        <f t="shared" si="1"/>
        <v>81</v>
      </c>
      <c r="B82" s="4" t="s">
        <v>10</v>
      </c>
      <c r="C82" s="5" t="s">
        <v>201</v>
      </c>
      <c r="D82" s="6" t="s">
        <v>202</v>
      </c>
      <c r="E82" s="3"/>
      <c r="F82" s="3" t="str">
        <f>IFERROR(__xludf.DUMMYFUNCTION("SWITCH(
  TRUE,
  REGEXMATCH(B82,""Brain Academy""),""BAC"",
  REGEXMATCH(B82,""English Academy""),""EAC"",
  """"
)&amp;"" ""&amp;IFERROR(TRIM(INDEX(SPLIT(C82,""-""),2)),C82)"),"BAC Kota Wisata")</f>
        <v>BAC Kota Wisata</v>
      </c>
      <c r="G82" s="3" t="str">
        <f>IFERROR(__xludf.DUMMYFUNCTION("TRIM(INDEX(SPLIT(C82,""-""),1))"),"Bogor")</f>
        <v>Bogor</v>
      </c>
      <c r="H82" s="3" t="str">
        <f>IFERROR(__xludf.DUMMYFUNCTION("TRIM(INDEX(SPLIT(C82,""-""),2))"),"Kota Wisata")</f>
        <v>Kota Wisata</v>
      </c>
      <c r="I82" s="4" t="s">
        <v>203</v>
      </c>
      <c r="J82" s="4">
        <v>-6.38932</v>
      </c>
      <c r="K82" s="4">
        <v>106.94628</v>
      </c>
    </row>
    <row r="83">
      <c r="A83" s="3">
        <f t="shared" si="1"/>
        <v>82</v>
      </c>
      <c r="B83" s="4" t="s">
        <v>10</v>
      </c>
      <c r="C83" s="5" t="s">
        <v>204</v>
      </c>
      <c r="D83" s="6" t="s">
        <v>205</v>
      </c>
      <c r="E83" s="3"/>
      <c r="F83" s="3" t="str">
        <f>IFERROR(__xludf.DUMMYFUNCTION("SWITCH(
  TRUE,
  REGEXMATCH(B83,""Brain Academy""),""BAC"",
  REGEXMATCH(B83,""English Academy""),""EAC"",
  """"
)&amp;"" ""&amp;IFERROR(TRIM(INDEX(SPLIT(C83,""-""),2)),C83)"),"BAC Pendidikan")</f>
        <v>BAC Pendidikan</v>
      </c>
      <c r="G83" s="3" t="str">
        <f>IFERROR(__xludf.DUMMYFUNCTION("TRIM(INDEX(SPLIT(C83,""-""),1))"),"Mataram")</f>
        <v>Mataram</v>
      </c>
      <c r="H83" s="3" t="str">
        <f>IFERROR(__xludf.DUMMYFUNCTION("TRIM(INDEX(SPLIT(C83,""-""),2))"),"Pendidikan")</f>
        <v>Pendidikan</v>
      </c>
      <c r="I83" s="3"/>
      <c r="J83" s="7">
        <v>-8.581648099999999</v>
      </c>
      <c r="K83" s="7">
        <v>116.0901385</v>
      </c>
    </row>
    <row r="84">
      <c r="A84" s="3">
        <f t="shared" si="1"/>
        <v>83</v>
      </c>
      <c r="B84" s="4" t="s">
        <v>10</v>
      </c>
      <c r="C84" s="5" t="s">
        <v>206</v>
      </c>
      <c r="D84" s="6" t="s">
        <v>207</v>
      </c>
      <c r="E84" s="3"/>
      <c r="F84" s="3" t="str">
        <f>IFERROR(__xludf.DUMMYFUNCTION("SWITCH(
  TRUE,
  REGEXMATCH(B84,""Brain Academy""),""BAC"",
  REGEXMATCH(B84,""English Academy""),""EAC"",
  """"
)&amp;"" ""&amp;IFERROR(TRIM(INDEX(SPLIT(C84,""-""),2)),C84)"),"BAC Pahlawan")</f>
        <v>BAC Pahlawan</v>
      </c>
      <c r="G84" s="3" t="str">
        <f>IFERROR(__xludf.DUMMYFUNCTION("TRIM(INDEX(SPLIT(C84,""-""),1))"),"Samarinda")</f>
        <v>Samarinda</v>
      </c>
      <c r="H84" s="3" t="str">
        <f>IFERROR(__xludf.DUMMYFUNCTION("TRIM(INDEX(SPLIT(C84,""-""),2))"),"Pahlawan")</f>
        <v>Pahlawan</v>
      </c>
      <c r="I84" s="3"/>
      <c r="J84" s="7">
        <v>-0.4877269999999999</v>
      </c>
      <c r="K84" s="7">
        <v>117.147159</v>
      </c>
    </row>
    <row r="85">
      <c r="A85" s="3">
        <f t="shared" si="1"/>
        <v>84</v>
      </c>
      <c r="B85" s="4" t="s">
        <v>10</v>
      </c>
      <c r="C85" s="5" t="s">
        <v>208</v>
      </c>
      <c r="D85" s="6" t="s">
        <v>209</v>
      </c>
      <c r="E85" s="3"/>
      <c r="F85" s="3" t="str">
        <f>IFERROR(__xludf.DUMMYFUNCTION("SWITCH(
  TRUE,
  REGEXMATCH(B85,""Brain Academy""),""BAC"",
  REGEXMATCH(B85,""English Academy""),""EAC"",
  """"
)&amp;"" ""&amp;IFERROR(TRIM(INDEX(SPLIT(C85,""-""),2)),C85)"),"BAC Adi Sucipto")</f>
        <v>BAC Adi Sucipto</v>
      </c>
      <c r="G85" s="3" t="str">
        <f>IFERROR(__xludf.DUMMYFUNCTION("TRIM(INDEX(SPLIT(C85,""-""),1))"),"Solo")</f>
        <v>Solo</v>
      </c>
      <c r="H85" s="3" t="str">
        <f>IFERROR(__xludf.DUMMYFUNCTION("TRIM(INDEX(SPLIT(C85,""-""),2))"),"Adi Sucipto")</f>
        <v>Adi Sucipto</v>
      </c>
      <c r="I85" s="3"/>
      <c r="J85" s="7">
        <v>-7.5503719</v>
      </c>
      <c r="K85" s="7">
        <v>110.7896553</v>
      </c>
    </row>
    <row r="86">
      <c r="A86" s="3">
        <f t="shared" si="1"/>
        <v>85</v>
      </c>
      <c r="B86" s="4" t="s">
        <v>10</v>
      </c>
      <c r="C86" s="5" t="s">
        <v>210</v>
      </c>
      <c r="D86" s="6" t="s">
        <v>211</v>
      </c>
      <c r="E86" s="3"/>
      <c r="F86" s="3" t="str">
        <f>IFERROR(__xludf.DUMMYFUNCTION("SWITCH(
  TRUE,
  REGEXMATCH(B86,""Brain Academy""),""BAC"",
  REGEXMATCH(B86,""English Academy""),""EAC"",
  """"
)&amp;"" ""&amp;IFERROR(TRIM(INDEX(SPLIT(C86,""-""),2)),C86)"),"BAC Metland Cileungsi")</f>
        <v>BAC Metland Cileungsi</v>
      </c>
      <c r="G86" s="3" t="str">
        <f>IFERROR(__xludf.DUMMYFUNCTION("TRIM(INDEX(SPLIT(C86,""-""),1))"),"Bogor")</f>
        <v>Bogor</v>
      </c>
      <c r="H86" s="3" t="str">
        <f>IFERROR(__xludf.DUMMYFUNCTION("TRIM(INDEX(SPLIT(C86,""-""),2))"),"Metland Cileungsi")</f>
        <v>Metland Cileungsi</v>
      </c>
      <c r="I86" s="3"/>
      <c r="J86" s="7">
        <v>-6.3977599</v>
      </c>
      <c r="K86" s="7">
        <v>106.9726881</v>
      </c>
    </row>
    <row r="87">
      <c r="A87" s="3">
        <f t="shared" si="1"/>
        <v>86</v>
      </c>
      <c r="B87" s="4" t="s">
        <v>10</v>
      </c>
      <c r="C87" s="5" t="s">
        <v>212</v>
      </c>
      <c r="D87" s="6" t="s">
        <v>213</v>
      </c>
      <c r="E87" s="3"/>
      <c r="F87" s="3" t="str">
        <f>IFERROR(__xludf.DUMMYFUNCTION("SWITCH(
  TRUE,
  REGEXMATCH(B87,""Brain Academy""),""BAC"",
  REGEXMATCH(B87,""English Academy""),""EAC"",
  """"
)&amp;"" ""&amp;IFERROR(TRIM(INDEX(SPLIT(C87,""-""),2)),C87)"),"BAC Cikampek")</f>
        <v>BAC Cikampek</v>
      </c>
      <c r="G87" s="3" t="str">
        <f>IFERROR(__xludf.DUMMYFUNCTION("TRIM(INDEX(SPLIT(C87,""-""),1))"),"Karawang")</f>
        <v>Karawang</v>
      </c>
      <c r="H87" s="3" t="str">
        <f>IFERROR(__xludf.DUMMYFUNCTION("TRIM(INDEX(SPLIT(C87,""-""),2))"),"Cikampek")</f>
        <v>Cikampek</v>
      </c>
      <c r="I87" s="3"/>
      <c r="J87" s="7">
        <v>-6.414792</v>
      </c>
      <c r="K87" s="7">
        <v>107.465945</v>
      </c>
    </row>
    <row r="88">
      <c r="A88" s="3">
        <f t="shared" si="1"/>
        <v>87</v>
      </c>
      <c r="B88" s="4" t="s">
        <v>10</v>
      </c>
      <c r="C88" s="5" t="s">
        <v>214</v>
      </c>
      <c r="D88" s="6" t="s">
        <v>215</v>
      </c>
      <c r="E88" s="3"/>
      <c r="F88" s="3" t="str">
        <f>IFERROR(__xludf.DUMMYFUNCTION("SWITCH(
  TRUE,
  REGEXMATCH(B88,""Brain Academy""),""BAC"",
  REGEXMATCH(B88,""English Academy""),""EAC"",
  """"
)&amp;"" ""&amp;IFERROR(TRIM(INDEX(SPLIT(C88,""-""),2)),C88)"),"BAC Padang Bulan")</f>
        <v>BAC Padang Bulan</v>
      </c>
      <c r="G88" s="3" t="str">
        <f>IFERROR(__xludf.DUMMYFUNCTION("TRIM(INDEX(SPLIT(C88,""-""),1))"),"Jayapura")</f>
        <v>Jayapura</v>
      </c>
      <c r="H88" s="3" t="str">
        <f>IFERROR(__xludf.DUMMYFUNCTION("TRIM(INDEX(SPLIT(C88,""-""),2))"),"Padang Bulan")</f>
        <v>Padang Bulan</v>
      </c>
      <c r="I88" s="3"/>
      <c r="J88" s="7">
        <v>-2.6068242</v>
      </c>
      <c r="K88" s="7">
        <v>140.6485484</v>
      </c>
    </row>
    <row r="89">
      <c r="A89" s="3">
        <f t="shared" si="1"/>
        <v>88</v>
      </c>
      <c r="B89" s="4" t="s">
        <v>10</v>
      </c>
      <c r="C89" s="5" t="s">
        <v>216</v>
      </c>
      <c r="D89" s="6" t="s">
        <v>217</v>
      </c>
      <c r="E89" s="3"/>
      <c r="F89" s="3" t="str">
        <f>IFERROR(__xludf.DUMMYFUNCTION("SWITCH(
  TRUE,
  REGEXMATCH(B89,""Brain Academy""),""BAC"",
  REGEXMATCH(B89,""English Academy""),""EAC"",
  """"
)&amp;"" ""&amp;IFERROR(TRIM(INDEX(SPLIT(C89,""-""),2)),C89)"),"BAC Ngagel")</f>
        <v>BAC Ngagel</v>
      </c>
      <c r="G89" s="3" t="str">
        <f>IFERROR(__xludf.DUMMYFUNCTION("TRIM(INDEX(SPLIT(C89,""-""),1))"),"Surabaya")</f>
        <v>Surabaya</v>
      </c>
      <c r="H89" s="4" t="s">
        <v>218</v>
      </c>
      <c r="I89" s="3"/>
      <c r="J89" s="7">
        <v>-7.2883956</v>
      </c>
      <c r="K89" s="7">
        <v>112.7560839</v>
      </c>
    </row>
    <row r="90">
      <c r="A90" s="3">
        <f t="shared" si="1"/>
        <v>89</v>
      </c>
      <c r="B90" s="4" t="s">
        <v>10</v>
      </c>
      <c r="C90" s="5" t="s">
        <v>219</v>
      </c>
      <c r="D90" s="6" t="s">
        <v>220</v>
      </c>
      <c r="E90" s="3"/>
      <c r="F90" s="3" t="str">
        <f>IFERROR(__xludf.DUMMYFUNCTION("SWITCH(
  TRUE,
  REGEXMATCH(B90,""Brain Academy""),""BAC"",
  REGEXMATCH(B90,""English Academy""),""EAC"",
  """"
)&amp;"" ""&amp;IFERROR(TRIM(INDEX(SPLIT(C90,""-""),2)),C90)"),"BAC Singaparna")</f>
        <v>BAC Singaparna</v>
      </c>
      <c r="G90" s="3" t="str">
        <f>IFERROR(__xludf.DUMMYFUNCTION("TRIM(INDEX(SPLIT(C90,""-""),1))"),"Tasikmalaya")</f>
        <v>Tasikmalaya</v>
      </c>
      <c r="H90" s="3" t="str">
        <f>IFERROR(__xludf.DUMMYFUNCTION("TRIM(INDEX(SPLIT(C90,""-""),2))"),"Singaparna")</f>
        <v>Singaparna</v>
      </c>
      <c r="I90" s="3"/>
      <c r="J90" s="7">
        <v>-7.3522458</v>
      </c>
      <c r="K90" s="7">
        <v>108.124254</v>
      </c>
    </row>
    <row r="91">
      <c r="A91" s="3">
        <f t="shared" si="1"/>
        <v>90</v>
      </c>
      <c r="B91" s="4" t="s">
        <v>10</v>
      </c>
      <c r="C91" s="5" t="s">
        <v>221</v>
      </c>
      <c r="D91" s="6" t="s">
        <v>222</v>
      </c>
      <c r="E91" s="3"/>
      <c r="F91" s="3" t="str">
        <f>IFERROR(__xludf.DUMMYFUNCTION("SWITCH(
  TRUE,
  REGEXMATCH(B91,""Brain Academy""),""BAC"",
  REGEXMATCH(B91,""English Academy""),""EAC"",
  """"
)&amp;"" ""&amp;IFERROR(TRIM(INDEX(SPLIT(C91,""-""),2)),C91)"),"BAC Usman Sadar")</f>
        <v>BAC Usman Sadar</v>
      </c>
      <c r="G91" s="3" t="str">
        <f>IFERROR(__xludf.DUMMYFUNCTION("TRIM(INDEX(SPLIT(C91,""-""),1))"),"Gresik")</f>
        <v>Gresik</v>
      </c>
      <c r="H91" s="3" t="str">
        <f>IFERROR(__xludf.DUMMYFUNCTION("TRIM(INDEX(SPLIT(C91,""-""),2))"),"Usman Sadar")</f>
        <v>Usman Sadar</v>
      </c>
      <c r="I91" s="3"/>
      <c r="J91" s="7">
        <v>-7.1551719</v>
      </c>
      <c r="K91" s="7">
        <v>112.6501317</v>
      </c>
    </row>
    <row r="92">
      <c r="A92" s="3">
        <f t="shared" si="1"/>
        <v>91</v>
      </c>
      <c r="B92" s="4" t="s">
        <v>10</v>
      </c>
      <c r="C92" s="5" t="s">
        <v>223</v>
      </c>
      <c r="D92" s="6" t="s">
        <v>224</v>
      </c>
      <c r="E92" s="3"/>
      <c r="F92" s="3" t="str">
        <f>IFERROR(__xludf.DUMMYFUNCTION("SWITCH(
  TRUE,
  REGEXMATCH(B92,""Brain Academy""),""BAC"",
  REGEXMATCH(B92,""English Academy""),""EAC"",
  """"
)&amp;"" ""&amp;IFERROR(TRIM(INDEX(SPLIT(C92,""-""),2)),C92)"),"BAC Ciracas")</f>
        <v>BAC Ciracas</v>
      </c>
      <c r="G92" s="3" t="str">
        <f>IFERROR(__xludf.DUMMYFUNCTION("TRIM(INDEX(SPLIT(C92,""-""),1))"),"Jakarta Timur")</f>
        <v>Jakarta Timur</v>
      </c>
      <c r="H92" s="3" t="str">
        <f>IFERROR(__xludf.DUMMYFUNCTION("TRIM(INDEX(SPLIT(C92,""-""),2))"),"Ciracas")</f>
        <v>Ciracas</v>
      </c>
      <c r="I92" s="4" t="s">
        <v>225</v>
      </c>
      <c r="J92" s="4">
        <v>-6.2126204</v>
      </c>
      <c r="K92" s="4">
        <v>106.9434084</v>
      </c>
    </row>
    <row r="93">
      <c r="A93" s="3">
        <f t="shared" si="1"/>
        <v>92</v>
      </c>
      <c r="B93" s="4" t="s">
        <v>10</v>
      </c>
      <c r="C93" s="5" t="s">
        <v>226</v>
      </c>
      <c r="D93" s="6" t="s">
        <v>227</v>
      </c>
      <c r="E93" s="3"/>
      <c r="F93" s="3" t="str">
        <f>IFERROR(__xludf.DUMMYFUNCTION("SWITCH(
  TRUE,
  REGEXMATCH(B93,""Brain Academy""),""BAC"",
  REGEXMATCH(B93,""English Academy""),""EAC"",
  """"
)&amp;"" ""&amp;IFERROR(TRIM(INDEX(SPLIT(C93,""-""),2)),C93)"),"BAC Bung Karno")</f>
        <v>BAC Bung Karno</v>
      </c>
      <c r="G93" s="3" t="str">
        <f>IFERROR(__xludf.DUMMYFUNCTION("TRIM(INDEX(SPLIT(C93,""-""),1))"),"Blitar")</f>
        <v>Blitar</v>
      </c>
      <c r="H93" s="3" t="str">
        <f>IFERROR(__xludf.DUMMYFUNCTION("TRIM(INDEX(SPLIT(C93,""-""),2))"),"Bung Karno")</f>
        <v>Bung Karno</v>
      </c>
      <c r="I93" s="3"/>
      <c r="J93" s="7">
        <v>-8.104384</v>
      </c>
      <c r="K93" s="7">
        <v>112.1809851</v>
      </c>
    </row>
    <row r="94">
      <c r="A94" s="3">
        <f t="shared" si="1"/>
        <v>93</v>
      </c>
      <c r="B94" s="4" t="s">
        <v>10</v>
      </c>
      <c r="C94" s="5" t="s">
        <v>228</v>
      </c>
      <c r="D94" s="6" t="s">
        <v>229</v>
      </c>
      <c r="E94" s="3"/>
      <c r="F94" s="3" t="str">
        <f>IFERROR(__xludf.DUMMYFUNCTION("SWITCH(
  TRUE,
  REGEXMATCH(B94,""Brain Academy""),""BAC"",
  REGEXMATCH(B94,""English Academy""),""EAC"",
  """"
)&amp;"" ""&amp;IFERROR(TRIM(INDEX(SPLIT(C94,""-""),2)),C94)"),"BAC BSD Boulevard")</f>
        <v>BAC BSD Boulevard</v>
      </c>
      <c r="G94" s="3" t="str">
        <f>IFERROR(__xludf.DUMMYFUNCTION("TRIM(INDEX(SPLIT(C94,""-""),1))"),"Tangerang Selatan")</f>
        <v>Tangerang Selatan</v>
      </c>
      <c r="H94" s="3" t="str">
        <f>IFERROR(__xludf.DUMMYFUNCTION("TRIM(INDEX(SPLIT(C94,""-""),2))"),"BSD Boulevard")</f>
        <v>BSD Boulevard</v>
      </c>
      <c r="I94" s="4" t="s">
        <v>230</v>
      </c>
      <c r="J94" s="4">
        <v>-6.302380599999999</v>
      </c>
      <c r="K94" s="4">
        <v>106.6688763</v>
      </c>
    </row>
    <row r="95">
      <c r="A95" s="3">
        <f t="shared" si="1"/>
        <v>94</v>
      </c>
      <c r="B95" s="4" t="s">
        <v>10</v>
      </c>
      <c r="C95" s="5" t="s">
        <v>231</v>
      </c>
      <c r="D95" s="6" t="s">
        <v>232</v>
      </c>
      <c r="E95" s="3"/>
      <c r="F95" s="3" t="str">
        <f>IFERROR(__xludf.DUMMYFUNCTION("SWITCH(
  TRUE,
  REGEXMATCH(B95,""Brain Academy""),""BAC"",
  REGEXMATCH(B95,""English Academy""),""EAC"",
  """"
)&amp;"" ""&amp;IFERROR(TRIM(INDEX(SPLIT(C95,""-""),2)),C95)"),"BAC Pamulang")</f>
        <v>BAC Pamulang</v>
      </c>
      <c r="G95" s="3" t="str">
        <f>IFERROR(__xludf.DUMMYFUNCTION("TRIM(INDEX(SPLIT(C95,""-""),1))"),"Tangerang Selatan")</f>
        <v>Tangerang Selatan</v>
      </c>
      <c r="H95" s="3" t="str">
        <f>IFERROR(__xludf.DUMMYFUNCTION("TRIM(INDEX(SPLIT(C95,""-""),2))"),"Pamulang")</f>
        <v>Pamulang</v>
      </c>
      <c r="I95" s="3"/>
      <c r="J95" s="7">
        <v>-6.3385897</v>
      </c>
      <c r="K95" s="7">
        <v>106.7389373</v>
      </c>
    </row>
    <row r="96">
      <c r="A96" s="3">
        <f t="shared" si="1"/>
        <v>95</v>
      </c>
      <c r="B96" s="4" t="s">
        <v>10</v>
      </c>
      <c r="C96" s="5" t="s">
        <v>233</v>
      </c>
      <c r="D96" s="6" t="s">
        <v>234</v>
      </c>
      <c r="E96" s="3"/>
      <c r="F96" s="3" t="str">
        <f>IFERROR(__xludf.DUMMYFUNCTION("SWITCH(
  TRUE,
  REGEXMATCH(B96,""Brain Academy""),""BAC"",
  REGEXMATCH(B96,""English Academy""),""EAC"",
  """"
)&amp;"" ""&amp;IFERROR(TRIM(INDEX(SPLIT(C96,""-""),2)),C96)"),"BAC Dharma giri")</f>
        <v>BAC Dharma giri</v>
      </c>
      <c r="G96" s="3" t="str">
        <f>IFERROR(__xludf.DUMMYFUNCTION("TRIM(INDEX(SPLIT(C96,""-""),1))"),"Gianyar")</f>
        <v>Gianyar</v>
      </c>
      <c r="H96" s="3" t="str">
        <f>IFERROR(__xludf.DUMMYFUNCTION("TRIM(INDEX(SPLIT(C96,""-""),2))"),"Dharma giri")</f>
        <v>Dharma giri</v>
      </c>
      <c r="I96" s="3"/>
      <c r="J96" s="7">
        <v>-8.546904399999999</v>
      </c>
      <c r="K96" s="7">
        <v>115.314407</v>
      </c>
    </row>
    <row r="97">
      <c r="A97" s="3">
        <f t="shared" si="1"/>
        <v>96</v>
      </c>
      <c r="B97" s="4" t="s">
        <v>10</v>
      </c>
      <c r="C97" s="5" t="s">
        <v>235</v>
      </c>
      <c r="D97" s="6" t="s">
        <v>236</v>
      </c>
      <c r="E97" s="3"/>
      <c r="F97" s="3" t="str">
        <f>IFERROR(__xludf.DUMMYFUNCTION("SWITCH(
  TRUE,
  REGEXMATCH(B97,""Brain Academy""),""BAC"",
  REGEXMATCH(B97,""English Academy""),""EAC"",
  """"
)&amp;"" ""&amp;IFERROR(TRIM(INDEX(SPLIT(C97,""-""),2)),C97)"),"BAC Sungguminasa")</f>
        <v>BAC Sungguminasa</v>
      </c>
      <c r="G97" s="3" t="str">
        <f>IFERROR(__xludf.DUMMYFUNCTION("TRIM(INDEX(SPLIT(C97,""-""),1))"),"Gowa")</f>
        <v>Gowa</v>
      </c>
      <c r="H97" s="3" t="str">
        <f>IFERROR(__xludf.DUMMYFUNCTION("TRIM(INDEX(SPLIT(C97,""-""),2))"),"Sungguminasa")</f>
        <v>Sungguminasa</v>
      </c>
      <c r="I97" s="3"/>
      <c r="J97" s="7">
        <v>-5.1989502</v>
      </c>
      <c r="K97" s="7">
        <v>119.4492819</v>
      </c>
    </row>
    <row r="98">
      <c r="A98" s="3">
        <f t="shared" si="1"/>
        <v>97</v>
      </c>
      <c r="B98" s="4" t="s">
        <v>10</v>
      </c>
      <c r="C98" s="5" t="s">
        <v>237</v>
      </c>
      <c r="D98" s="6" t="s">
        <v>238</v>
      </c>
      <c r="E98" s="3"/>
      <c r="F98" s="3" t="str">
        <f>IFERROR(__xludf.DUMMYFUNCTION("SWITCH(
  TRUE,
  REGEXMATCH(B98,""Brain Academy""),""BAC"",
  REGEXMATCH(B98,""English Academy""),""EAC"",
  """"
)&amp;"" ""&amp;IFERROR(TRIM(INDEX(SPLIT(C98,""-""),2)),C98)"),"BAC Sudiang")</f>
        <v>BAC Sudiang</v>
      </c>
      <c r="G98" s="3" t="str">
        <f>IFERROR(__xludf.DUMMYFUNCTION("TRIM(INDEX(SPLIT(C98,""-""),1))"),"Makassar")</f>
        <v>Makassar</v>
      </c>
      <c r="H98" s="3" t="str">
        <f>IFERROR(__xludf.DUMMYFUNCTION("TRIM(INDEX(SPLIT(C98,""-""),2))"),"Sudiang")</f>
        <v>Sudiang</v>
      </c>
      <c r="I98" s="3"/>
      <c r="J98" s="7">
        <v>-5.0756232</v>
      </c>
      <c r="K98" s="7">
        <v>119.5223412</v>
      </c>
    </row>
    <row r="99">
      <c r="A99" s="3">
        <f t="shared" si="1"/>
        <v>98</v>
      </c>
      <c r="B99" s="4" t="s">
        <v>10</v>
      </c>
      <c r="C99" s="5" t="s">
        <v>239</v>
      </c>
      <c r="D99" s="6" t="s">
        <v>240</v>
      </c>
      <c r="E99" s="3"/>
      <c r="F99" s="3" t="str">
        <f>IFERROR(__xludf.DUMMYFUNCTION("SWITCH(
  TRUE,
  REGEXMATCH(B99,""Brain Academy""),""BAC"",
  REGEXMATCH(B99,""English Academy""),""EAC"",
  """"
)&amp;"" ""&amp;IFERROR(TRIM(INDEX(SPLIT(C99,""-""),2)),C99)"),"BAC Kopo")</f>
        <v>BAC Kopo</v>
      </c>
      <c r="G99" s="3" t="str">
        <f>IFERROR(__xludf.DUMMYFUNCTION("TRIM(INDEX(SPLIT(C99,""-""),1))"),"Bandung")</f>
        <v>Bandung</v>
      </c>
      <c r="H99" s="3" t="str">
        <f>IFERROR(__xludf.DUMMYFUNCTION("TRIM(INDEX(SPLIT(C99,""-""),2))"),"Kopo")</f>
        <v>Kopo</v>
      </c>
      <c r="I99" s="3"/>
      <c r="J99" s="7">
        <v>-6.9758766</v>
      </c>
      <c r="K99" s="7">
        <v>107.5646915</v>
      </c>
    </row>
    <row r="100">
      <c r="A100" s="3">
        <f t="shared" si="1"/>
        <v>99</v>
      </c>
      <c r="B100" s="4" t="s">
        <v>10</v>
      </c>
      <c r="C100" s="5" t="s">
        <v>241</v>
      </c>
      <c r="D100" s="6" t="s">
        <v>242</v>
      </c>
      <c r="E100" s="3"/>
      <c r="F100" s="3" t="str">
        <f>IFERROR(__xludf.DUMMYFUNCTION("SWITCH(
  TRUE,
  REGEXMATCH(B100,""Brain Academy""),""BAC"",
  REGEXMATCH(B100,""English Academy""),""EAC"",
  """"
)&amp;"" ""&amp;IFERROR(TRIM(INDEX(SPLIT(C100,""-""),2)),C100)"),"BAC Jambo Tape")</f>
        <v>BAC Jambo Tape</v>
      </c>
      <c r="G100" s="3" t="str">
        <f>IFERROR(__xludf.DUMMYFUNCTION("TRIM(INDEX(SPLIT(C100,""-""),1))"),"Banda Aceh")</f>
        <v>Banda Aceh</v>
      </c>
      <c r="H100" s="3" t="str">
        <f>IFERROR(__xludf.DUMMYFUNCTION("TRIM(INDEX(SPLIT(C100,""-""),2))"),"Jambo Tape")</f>
        <v>Jambo Tape</v>
      </c>
      <c r="I100" s="3"/>
      <c r="J100" s="7">
        <v>5.5620237</v>
      </c>
      <c r="K100" s="7">
        <v>95.3302113</v>
      </c>
    </row>
    <row r="101">
      <c r="A101" s="3">
        <f t="shared" si="1"/>
        <v>100</v>
      </c>
      <c r="B101" s="4" t="s">
        <v>10</v>
      </c>
      <c r="C101" s="5" t="s">
        <v>243</v>
      </c>
      <c r="D101" s="6" t="s">
        <v>244</v>
      </c>
      <c r="E101" s="3"/>
      <c r="F101" s="3" t="str">
        <f>IFERROR(__xludf.DUMMYFUNCTION("SWITCH(
  TRUE,
  REGEXMATCH(B101,""Brain Academy""),""BAC"",
  REGEXMATCH(B101,""English Academy""),""EAC"",
  """"
)&amp;"" ""&amp;IFERROR(TRIM(INDEX(SPLIT(C101,""-""),2)),C101)"),"BAC Andi Depu")</f>
        <v>BAC Andi Depu</v>
      </c>
      <c r="G101" s="3" t="str">
        <f>IFERROR(__xludf.DUMMYFUNCTION("TRIM(INDEX(SPLIT(C101,""-""),1))"),"Polewali Mandar")</f>
        <v>Polewali Mandar</v>
      </c>
      <c r="H101" s="3" t="str">
        <f>IFERROR(__xludf.DUMMYFUNCTION("TRIM(INDEX(SPLIT(C101,""-""),2))"),"Andi Depu")</f>
        <v>Andi Depu</v>
      </c>
      <c r="I101" s="3"/>
      <c r="J101" s="7">
        <v>-3.4210094</v>
      </c>
      <c r="K101" s="7">
        <v>119.3253104</v>
      </c>
    </row>
    <row r="102">
      <c r="A102" s="3">
        <f t="shared" si="1"/>
        <v>101</v>
      </c>
      <c r="B102" s="4" t="s">
        <v>10</v>
      </c>
      <c r="C102" s="5" t="s">
        <v>245</v>
      </c>
      <c r="D102" s="6" t="s">
        <v>246</v>
      </c>
      <c r="E102" s="3"/>
      <c r="F102" s="3" t="str">
        <f>IFERROR(__xludf.DUMMYFUNCTION("SWITCH(
  TRUE,
  REGEXMATCH(B102,""Brain Academy""),""BAC"",
  REGEXMATCH(B102,""English Academy""),""EAC"",
  """"
)&amp;"" ""&amp;IFERROR(TRIM(INDEX(SPLIT(C102,""-""),2)),C102)"),"BAC Antapani")</f>
        <v>BAC Antapani</v>
      </c>
      <c r="G102" s="3" t="str">
        <f>IFERROR(__xludf.DUMMYFUNCTION("TRIM(INDEX(SPLIT(C102,""-""),1))"),"Bandung")</f>
        <v>Bandung</v>
      </c>
      <c r="H102" s="3" t="str">
        <f>IFERROR(__xludf.DUMMYFUNCTION("TRIM(INDEX(SPLIT(C102,""-""),2))"),"Antapani")</f>
        <v>Antapani</v>
      </c>
      <c r="I102" s="4" t="s">
        <v>247</v>
      </c>
      <c r="J102" s="4">
        <v>-6.9132903</v>
      </c>
      <c r="K102" s="4">
        <v>107.6495712</v>
      </c>
    </row>
    <row r="103">
      <c r="A103" s="3">
        <f t="shared" si="1"/>
        <v>102</v>
      </c>
      <c r="B103" s="4" t="s">
        <v>10</v>
      </c>
      <c r="C103" s="5" t="s">
        <v>248</v>
      </c>
      <c r="D103" s="6" t="s">
        <v>249</v>
      </c>
      <c r="E103" s="3"/>
      <c r="F103" s="3" t="str">
        <f>IFERROR(__xludf.DUMMYFUNCTION("SWITCH(
  TRUE,
  REGEXMATCH(B103,""Brain Academy""),""BAC"",
  REGEXMATCH(B103,""English Academy""),""EAC"",
  """"
)&amp;"" ""&amp;IFERROR(TRIM(INDEX(SPLIT(C103,""-""),2)),C103)"),"BAC Wiyung")</f>
        <v>BAC Wiyung</v>
      </c>
      <c r="G103" s="3" t="str">
        <f>IFERROR(__xludf.DUMMYFUNCTION("TRIM(INDEX(SPLIT(C103,""-""),1))"),"Surabaya")</f>
        <v>Surabaya</v>
      </c>
      <c r="H103" s="3" t="str">
        <f>IFERROR(__xludf.DUMMYFUNCTION("TRIM(INDEX(SPLIT(C103,""-""),2))"),"Wiyung")</f>
        <v>Wiyung</v>
      </c>
      <c r="I103" s="3"/>
      <c r="J103" s="7">
        <v>-7.3156361</v>
      </c>
      <c r="K103" s="7">
        <v>112.696698</v>
      </c>
    </row>
    <row r="104">
      <c r="A104" s="3">
        <f t="shared" si="1"/>
        <v>103</v>
      </c>
      <c r="B104" s="4" t="s">
        <v>10</v>
      </c>
      <c r="C104" s="5" t="s">
        <v>250</v>
      </c>
      <c r="D104" s="6" t="s">
        <v>251</v>
      </c>
      <c r="E104" s="3"/>
      <c r="F104" s="3" t="str">
        <f>IFERROR(__xludf.DUMMYFUNCTION("SWITCH(
  TRUE,
  REGEXMATCH(B104,""Brain Academy""),""BAC"",
  REGEXMATCH(B104,""English Academy""),""EAC"",
  """"
)&amp;"" ""&amp;IFERROR(TRIM(INDEX(SPLIT(C104,""-""),2)),C104)"),"BAC Jenderal Sudirman")</f>
        <v>BAC Jenderal Sudirman</v>
      </c>
      <c r="G104" s="3" t="str">
        <f>IFERROR(__xludf.DUMMYFUNCTION("TRIM(INDEX(SPLIT(C104,""-""),1))"),"Palu")</f>
        <v>Palu</v>
      </c>
      <c r="H104" s="3" t="str">
        <f>IFERROR(__xludf.DUMMYFUNCTION("TRIM(INDEX(SPLIT(C104,""-""),2))"),"Jenderal Sudirman")</f>
        <v>Jenderal Sudirman</v>
      </c>
      <c r="I104" s="3"/>
      <c r="J104" s="7">
        <v>-0.896404</v>
      </c>
      <c r="K104" s="7">
        <v>119.8691911</v>
      </c>
    </row>
    <row r="105">
      <c r="A105" s="3">
        <f t="shared" si="1"/>
        <v>104</v>
      </c>
      <c r="B105" s="4" t="s">
        <v>10</v>
      </c>
      <c r="C105" s="5" t="s">
        <v>252</v>
      </c>
      <c r="D105" s="6" t="s">
        <v>253</v>
      </c>
      <c r="E105" s="3"/>
      <c r="F105" s="3" t="str">
        <f>IFERROR(__xludf.DUMMYFUNCTION("SWITCH(
  TRUE,
  REGEXMATCH(B105,""Brain Academy""),""BAC"",
  REGEXMATCH(B105,""English Academy""),""EAC"",
  """"
)&amp;"" ""&amp;IFERROR(TRIM(INDEX(SPLIT(C105,""-""),2)),C105)"),"BAC Kenten")</f>
        <v>BAC Kenten</v>
      </c>
      <c r="G105" s="3" t="str">
        <f>IFERROR(__xludf.DUMMYFUNCTION("TRIM(INDEX(SPLIT(C105,""-""),1))"),"Palembang")</f>
        <v>Palembang</v>
      </c>
      <c r="H105" s="3" t="str">
        <f>IFERROR(__xludf.DUMMYFUNCTION("TRIM(INDEX(SPLIT(C105,""-""),2))"),"Kenten")</f>
        <v>Kenten</v>
      </c>
      <c r="I105" s="4" t="s">
        <v>254</v>
      </c>
      <c r="J105" s="4">
        <v>-2.9452601</v>
      </c>
      <c r="K105" s="4">
        <v>104.7675213</v>
      </c>
    </row>
    <row r="106">
      <c r="A106" s="3">
        <f t="shared" si="1"/>
        <v>105</v>
      </c>
      <c r="B106" s="4" t="s">
        <v>10</v>
      </c>
      <c r="C106" s="5" t="s">
        <v>255</v>
      </c>
      <c r="D106" s="6" t="s">
        <v>256</v>
      </c>
      <c r="E106" s="3"/>
      <c r="F106" s="3" t="str">
        <f>IFERROR(__xludf.DUMMYFUNCTION("SWITCH(
  TRUE,
  REGEXMATCH(B106,""Brain Academy""),""BAC"",
  REGEXMATCH(B106,""English Academy""),""EAC"",
  """"
)&amp;"" ""&amp;IFERROR(TRIM(INDEX(SPLIT(C106,""-""),2)),C106)"),"BAC Manggis Ganting")</f>
        <v>BAC Manggis Ganting</v>
      </c>
      <c r="G106" s="3" t="str">
        <f>IFERROR(__xludf.DUMMYFUNCTION("TRIM(INDEX(SPLIT(C106,""-""),1))"),"Bukittinggi")</f>
        <v>Bukittinggi</v>
      </c>
      <c r="H106" s="3" t="str">
        <f>IFERROR(__xludf.DUMMYFUNCTION("TRIM(INDEX(SPLIT(C106,""-""),2))"),"Manggis Ganting")</f>
        <v>Manggis Ganting</v>
      </c>
      <c r="I106" s="3"/>
      <c r="J106" s="7">
        <v>-0.2988295</v>
      </c>
      <c r="K106" s="7">
        <v>100.3776746</v>
      </c>
    </row>
    <row r="107">
      <c r="A107" s="3">
        <f t="shared" si="1"/>
        <v>106</v>
      </c>
      <c r="B107" s="4" t="s">
        <v>10</v>
      </c>
      <c r="C107" s="5" t="s">
        <v>257</v>
      </c>
      <c r="D107" s="6" t="s">
        <v>258</v>
      </c>
      <c r="E107" s="3"/>
      <c r="F107" s="3" t="str">
        <f>IFERROR(__xludf.DUMMYFUNCTION("SWITCH(
  TRUE,
  REGEXMATCH(B107,""Brain Academy""),""BAC"",
  REGEXMATCH(B107,""English Academy""),""EAC"",
  """"
)&amp;"" ""&amp;IFERROR(TRIM(INDEX(SPLIT(C107,""-""),2)),C107)"),"BAC Panam")</f>
        <v>BAC Panam</v>
      </c>
      <c r="G107" s="3" t="str">
        <f>IFERROR(__xludf.DUMMYFUNCTION("TRIM(INDEX(SPLIT(C107,""-""),1))"),"Pekanbaru")</f>
        <v>Pekanbaru</v>
      </c>
      <c r="H107" s="3" t="str">
        <f>IFERROR(__xludf.DUMMYFUNCTION("TRIM(INDEX(SPLIT(C107,""-""),2))"),"Panam")</f>
        <v>Panam</v>
      </c>
      <c r="I107" s="3"/>
      <c r="J107" s="7">
        <v>0.4631873</v>
      </c>
      <c r="K107" s="7">
        <v>101.3982376</v>
      </c>
    </row>
    <row r="108">
      <c r="A108" s="3">
        <f t="shared" si="1"/>
        <v>107</v>
      </c>
      <c r="B108" s="4" t="s">
        <v>10</v>
      </c>
      <c r="C108" s="5" t="s">
        <v>259</v>
      </c>
      <c r="D108" s="6" t="s">
        <v>260</v>
      </c>
      <c r="E108" s="3"/>
      <c r="F108" s="3" t="str">
        <f>IFERROR(__xludf.DUMMYFUNCTION("SWITCH(
  TRUE,
  REGEXMATCH(B108,""Brain Academy""),""BAC"",
  REGEXMATCH(B108,""English Academy""),""EAC"",
  """"
)&amp;"" ""&amp;IFERROR(TRIM(INDEX(SPLIT(C108,""-""),2)),C108)"),"BAC Majapahit")</f>
        <v>BAC Majapahit</v>
      </c>
      <c r="G108" s="3" t="str">
        <f>IFERROR(__xludf.DUMMYFUNCTION("TRIM(INDEX(SPLIT(C108,""-""),1))"),"Semarang")</f>
        <v>Semarang</v>
      </c>
      <c r="H108" s="3" t="str">
        <f>IFERROR(__xludf.DUMMYFUNCTION("TRIM(INDEX(SPLIT(C108,""-""),2))"),"Majapahit")</f>
        <v>Majapahit</v>
      </c>
      <c r="I108" s="4" t="s">
        <v>133</v>
      </c>
      <c r="J108" s="4">
        <v>-7.0248631</v>
      </c>
      <c r="K108" s="4">
        <v>110.4674771</v>
      </c>
    </row>
    <row r="109">
      <c r="A109" s="3">
        <f t="shared" si="1"/>
        <v>108</v>
      </c>
      <c r="B109" s="4" t="s">
        <v>10</v>
      </c>
      <c r="C109" s="5" t="s">
        <v>261</v>
      </c>
      <c r="D109" s="6" t="s">
        <v>262</v>
      </c>
      <c r="E109" s="3"/>
      <c r="F109" s="3" t="str">
        <f>IFERROR(__xludf.DUMMYFUNCTION("SWITCH(
  TRUE,
  REGEXMATCH(B109,""Brain Academy""),""BAC"",
  REGEXMATCH(B109,""English Academy""),""EAC"",
  """"
)&amp;"" ""&amp;IFERROR(TRIM(INDEX(SPLIT(C109,""-""),2)),C109)"),"BAC Veteran")</f>
        <v>BAC Veteran</v>
      </c>
      <c r="G109" s="3" t="str">
        <f>IFERROR(__xludf.DUMMYFUNCTION("TRIM(INDEX(SPLIT(C109,""-""),1))"),"Binjai")</f>
        <v>Binjai</v>
      </c>
      <c r="H109" s="3" t="str">
        <f>IFERROR(__xludf.DUMMYFUNCTION("TRIM(INDEX(SPLIT(C109,""-""),2))"),"Veteran")</f>
        <v>Veteran</v>
      </c>
      <c r="I109" s="3"/>
      <c r="J109" s="7">
        <v>3.603691</v>
      </c>
      <c r="K109" s="7">
        <v>98.48135599999999</v>
      </c>
    </row>
    <row r="110">
      <c r="A110" s="3">
        <f t="shared" si="1"/>
        <v>109</v>
      </c>
      <c r="B110" s="4" t="s">
        <v>10</v>
      </c>
      <c r="C110" s="5" t="s">
        <v>263</v>
      </c>
      <c r="D110" s="6" t="s">
        <v>264</v>
      </c>
      <c r="E110" s="3"/>
      <c r="F110" s="3" t="str">
        <f>IFERROR(__xludf.DUMMYFUNCTION("SWITCH(
  TRUE,
  REGEXMATCH(B110,""Brain Academy""),""BAC"",
  REGEXMATCH(B110,""English Academy""),""EAC"",
  """"
)&amp;"" ""&amp;IFERROR(TRIM(INDEX(SPLIT(C110,""-""),2)),C110)"),"BAC Seberang Ulu")</f>
        <v>BAC Seberang Ulu</v>
      </c>
      <c r="G110" s="3" t="str">
        <f>IFERROR(__xludf.DUMMYFUNCTION("TRIM(INDEX(SPLIT(C110,""-""),1))"),"Palembang")</f>
        <v>Palembang</v>
      </c>
      <c r="H110" s="3" t="str">
        <f>IFERROR(__xludf.DUMMYFUNCTION("TRIM(INDEX(SPLIT(C110,""-""),2))"),"Seberang Ulu")</f>
        <v>Seberang Ulu</v>
      </c>
      <c r="I110" s="3"/>
      <c r="J110" s="7">
        <v>-3.0007159</v>
      </c>
      <c r="K110" s="7">
        <v>104.7673766</v>
      </c>
    </row>
    <row r="111">
      <c r="A111" s="3">
        <f t="shared" si="1"/>
        <v>110</v>
      </c>
      <c r="B111" s="4" t="s">
        <v>10</v>
      </c>
      <c r="C111" s="5" t="s">
        <v>265</v>
      </c>
      <c r="D111" s="6" t="s">
        <v>266</v>
      </c>
      <c r="E111" s="3"/>
      <c r="F111" s="3" t="str">
        <f>IFERROR(__xludf.DUMMYFUNCTION("SWITCH(
  TRUE,
  REGEXMATCH(B111,""Brain Academy""),""BAC"",
  REGEXMATCH(B111,""English Academy""),""EAC"",
  """"
)&amp;"" ""&amp;IFERROR(TRIM(INDEX(SPLIT(C111,""-""),2)),C111)"),"BAC Martadinata")</f>
        <v>BAC Martadinata</v>
      </c>
      <c r="G111" s="3" t="str">
        <f>IFERROR(__xludf.DUMMYFUNCTION("TRIM(INDEX(SPLIT(C111,""-""),1))"),"Purwakarta")</f>
        <v>Purwakarta</v>
      </c>
      <c r="H111" s="3" t="str">
        <f>IFERROR(__xludf.DUMMYFUNCTION("TRIM(INDEX(SPLIT(C111,""-""),2))"),"Martadinata")</f>
        <v>Martadinata</v>
      </c>
      <c r="I111" s="3"/>
      <c r="J111" s="7">
        <v>-6.5581802</v>
      </c>
      <c r="K111" s="7">
        <v>107.4437782</v>
      </c>
    </row>
    <row r="112">
      <c r="A112" s="3">
        <f t="shared" si="1"/>
        <v>111</v>
      </c>
      <c r="B112" s="4" t="s">
        <v>10</v>
      </c>
      <c r="C112" s="5" t="s">
        <v>267</v>
      </c>
      <c r="D112" s="6" t="s">
        <v>268</v>
      </c>
      <c r="E112" s="3"/>
      <c r="F112" s="3" t="str">
        <f>IFERROR(__xludf.DUMMYFUNCTION("SWITCH(
  TRUE,
  REGEXMATCH(B112,""Brain Academy""),""BAC"",
  REGEXMATCH(B112,""English Academy""),""EAC"",
  """"
)&amp;"" ""&amp;IFERROR(TRIM(INDEX(SPLIT(C112,""-""),2)),C112)"),"BAC Rajabasa")</f>
        <v>BAC Rajabasa</v>
      </c>
      <c r="G112" s="3" t="str">
        <f>IFERROR(__xludf.DUMMYFUNCTION("TRIM(INDEX(SPLIT(C112,""-""),1))"),"Bandar Lampung")</f>
        <v>Bandar Lampung</v>
      </c>
      <c r="H112" s="3" t="str">
        <f>IFERROR(__xludf.DUMMYFUNCTION("TRIM(INDEX(SPLIT(C112,""-""),2))"),"Rajabasa")</f>
        <v>Rajabasa</v>
      </c>
      <c r="I112" s="3"/>
      <c r="J112" s="7">
        <v>-5.375126</v>
      </c>
      <c r="K112" s="7">
        <v>105.244412</v>
      </c>
    </row>
    <row r="113">
      <c r="A113" s="3">
        <f t="shared" si="1"/>
        <v>112</v>
      </c>
      <c r="B113" s="4" t="s">
        <v>10</v>
      </c>
      <c r="C113" s="5" t="s">
        <v>269</v>
      </c>
      <c r="D113" s="6" t="s">
        <v>270</v>
      </c>
      <c r="E113" s="3"/>
      <c r="F113" s="3" t="str">
        <f>IFERROR(__xludf.DUMMYFUNCTION("SWITCH(
  TRUE,
  REGEXMATCH(B113,""Brain Academy""),""BAC"",
  REGEXMATCH(B113,""English Academy""),""EAC"",
  """"
)&amp;"" ""&amp;IFERROR(TRIM(INDEX(SPLIT(C113,""-""),2)),C113)"),"BAC Otista")</f>
        <v>BAC Otista</v>
      </c>
      <c r="G113" s="3" t="str">
        <f>IFERROR(__xludf.DUMMYFUNCTION("TRIM(INDEX(SPLIT(C113,""-""),1))"),"Subang")</f>
        <v>Subang</v>
      </c>
      <c r="H113" s="3" t="str">
        <f>IFERROR(__xludf.DUMMYFUNCTION("TRIM(INDEX(SPLIT(C113,""-""),2))"),"Otista")</f>
        <v>Otista</v>
      </c>
      <c r="I113" s="3"/>
      <c r="J113" s="7">
        <v>-6.561568</v>
      </c>
      <c r="K113" s="7">
        <v>107.7687477</v>
      </c>
    </row>
    <row r="114">
      <c r="A114" s="3">
        <f t="shared" si="1"/>
        <v>113</v>
      </c>
      <c r="B114" s="4" t="s">
        <v>10</v>
      </c>
      <c r="C114" s="5" t="s">
        <v>271</v>
      </c>
      <c r="D114" s="6" t="s">
        <v>272</v>
      </c>
      <c r="E114" s="3"/>
      <c r="F114" s="3" t="str">
        <f>IFERROR(__xludf.DUMMYFUNCTION("SWITCH(
  TRUE,
  REGEXMATCH(B114,""Brain Academy""),""BAC"",
  REGEXMATCH(B114,""English Academy""),""EAC"",
  """"
)&amp;"" ""&amp;IFERROR(TRIM(INDEX(SPLIT(C114,""-""),2)),C114)"),"BAC MTC")</f>
        <v>BAC MTC</v>
      </c>
      <c r="G114" s="3" t="str">
        <f>IFERROR(__xludf.DUMMYFUNCTION("TRIM(INDEX(SPLIT(C114,""-""),1))"),"Bandung")</f>
        <v>Bandung</v>
      </c>
      <c r="H114" s="4" t="s">
        <v>273</v>
      </c>
      <c r="I114" s="4" t="s">
        <v>21</v>
      </c>
      <c r="J114" s="4">
        <v>-6.941662099999999</v>
      </c>
      <c r="K114" s="4">
        <v>107.6590279</v>
      </c>
    </row>
    <row r="115">
      <c r="A115" s="3">
        <f t="shared" si="1"/>
        <v>114</v>
      </c>
      <c r="B115" s="4" t="s">
        <v>10</v>
      </c>
      <c r="C115" s="5" t="s">
        <v>274</v>
      </c>
      <c r="D115" s="6" t="s">
        <v>275</v>
      </c>
      <c r="E115" s="3"/>
      <c r="F115" s="3" t="str">
        <f>IFERROR(__xludf.DUMMYFUNCTION("SWITCH(
  TRUE,
  REGEXMATCH(B115,""Brain Academy""),""BAC"",
  REGEXMATCH(B115,""English Academy""),""EAC"",
  """"
)&amp;"" ""&amp;IFERROR(TRIM(INDEX(SPLIT(C115,""-""),2)),C115)"),"BAC Ahmad Yani")</f>
        <v>BAC Ahmad Yani</v>
      </c>
      <c r="G115" s="3" t="str">
        <f>IFERROR(__xludf.DUMMYFUNCTION("TRIM(INDEX(SPLIT(C115,""-""),1))"),"Bone")</f>
        <v>Bone</v>
      </c>
      <c r="H115" s="3" t="str">
        <f>IFERROR(__xludf.DUMMYFUNCTION("TRIM(INDEX(SPLIT(C115,""-""),2))"),"Ahmad Yani")</f>
        <v>Ahmad Yani</v>
      </c>
      <c r="I115" s="3"/>
      <c r="J115" s="7">
        <v>-4.5401436</v>
      </c>
      <c r="K115" s="7">
        <v>120.3195158</v>
      </c>
    </row>
    <row r="116">
      <c r="A116" s="3">
        <f t="shared" si="1"/>
        <v>115</v>
      </c>
      <c r="B116" s="4" t="s">
        <v>10</v>
      </c>
      <c r="C116" s="5" t="s">
        <v>276</v>
      </c>
      <c r="D116" s="6" t="s">
        <v>277</v>
      </c>
      <c r="E116" s="3"/>
      <c r="F116" s="3" t="str">
        <f>IFERROR(__xludf.DUMMYFUNCTION("SWITCH(
  TRUE,
  REGEXMATCH(B116,""Brain Academy""),""BAC"",
  REGEXMATCH(B116,""English Academy""),""EAC"",
  """"
)&amp;"" ""&amp;IFERROR(TRIM(INDEX(SPLIT(C116,""-""),2)),C116)"),"BAC Johor")</f>
        <v>BAC Johor</v>
      </c>
      <c r="G116" s="3" t="str">
        <f>IFERROR(__xludf.DUMMYFUNCTION("TRIM(INDEX(SPLIT(C116,""-""),1))"),"Medan")</f>
        <v>Medan</v>
      </c>
      <c r="H116" s="3" t="str">
        <f>IFERROR(__xludf.DUMMYFUNCTION("TRIM(INDEX(SPLIT(C116,""-""),2))"),"Johor")</f>
        <v>Johor</v>
      </c>
      <c r="I116" s="3"/>
      <c r="J116" s="7">
        <v>3.5356483</v>
      </c>
      <c r="K116" s="7">
        <v>98.65994040000001</v>
      </c>
    </row>
    <row r="117">
      <c r="A117" s="3">
        <f t="shared" si="1"/>
        <v>116</v>
      </c>
      <c r="B117" s="4" t="s">
        <v>10</v>
      </c>
      <c r="C117" s="5" t="s">
        <v>278</v>
      </c>
      <c r="D117" s="6" t="s">
        <v>279</v>
      </c>
      <c r="E117" s="3"/>
      <c r="F117" s="3" t="str">
        <f>IFERROR(__xludf.DUMMYFUNCTION("SWITCH(
  TRUE,
  REGEXMATCH(B117,""Brain Academy""),""BAC"",
  REGEXMATCH(B117,""English Academy""),""EAC"",
  """"
)&amp;"" ""&amp;IFERROR(TRIM(INDEX(SPLIT(C117,""-""),2)),C117)"),"BAC Petukangan")</f>
        <v>BAC Petukangan</v>
      </c>
      <c r="G117" s="3" t="str">
        <f>IFERROR(__xludf.DUMMYFUNCTION("TRIM(INDEX(SPLIT(C117,""-""),1))"),"Jakarta Selatan")</f>
        <v>Jakarta Selatan</v>
      </c>
      <c r="H117" s="3" t="str">
        <f>IFERROR(__xludf.DUMMYFUNCTION("TRIM(INDEX(SPLIT(C117,""-""),2))"),"Petukangan")</f>
        <v>Petukangan</v>
      </c>
      <c r="I117" s="4" t="s">
        <v>280</v>
      </c>
      <c r="J117" s="4">
        <v>-6.238184</v>
      </c>
      <c r="K117" s="4">
        <v>106.748846</v>
      </c>
    </row>
    <row r="118">
      <c r="A118" s="3">
        <f t="shared" si="1"/>
        <v>117</v>
      </c>
      <c r="B118" s="4" t="s">
        <v>10</v>
      </c>
      <c r="C118" s="5" t="s">
        <v>281</v>
      </c>
      <c r="D118" s="6" t="s">
        <v>282</v>
      </c>
      <c r="E118" s="3"/>
      <c r="F118" s="3" t="str">
        <f>IFERROR(__xludf.DUMMYFUNCTION("SWITCH(
  TRUE,
  REGEXMATCH(B118,""Brain Academy""),""BAC"",
  REGEXMATCH(B118,""English Academy""),""EAC"",
  """"
)&amp;"" ""&amp;IFERROR(TRIM(INDEX(SPLIT(C118,""-""),2)),C118)"),"BAC Cinere")</f>
        <v>BAC Cinere</v>
      </c>
      <c r="G118" s="3" t="str">
        <f>IFERROR(__xludf.DUMMYFUNCTION("TRIM(INDEX(SPLIT(C118,""-""),1))"),"Depok")</f>
        <v>Depok</v>
      </c>
      <c r="H118" s="3" t="str">
        <f>IFERROR(__xludf.DUMMYFUNCTION("TRIM(INDEX(SPLIT(C118,""-""),2))"),"Cinere")</f>
        <v>Cinere</v>
      </c>
      <c r="I118" s="4" t="s">
        <v>283</v>
      </c>
      <c r="J118" s="4">
        <v>-6.332773700000001</v>
      </c>
      <c r="K118" s="4">
        <v>106.7841726</v>
      </c>
    </row>
    <row r="119">
      <c r="A119" s="3">
        <f t="shared" si="1"/>
        <v>118</v>
      </c>
      <c r="B119" s="4" t="s">
        <v>10</v>
      </c>
      <c r="C119" s="5" t="s">
        <v>284</v>
      </c>
      <c r="D119" s="6" t="s">
        <v>285</v>
      </c>
      <c r="E119" s="3"/>
      <c r="F119" s="3" t="str">
        <f>IFERROR(__xludf.DUMMYFUNCTION("SWITCH(
  TRUE,
  REGEXMATCH(B119,""Brain Academy""),""BAC"",
  REGEXMATCH(B119,""English Academy""),""EAC"",
  """"
)&amp;"" ""&amp;IFERROR(TRIM(INDEX(SPLIT(C119,""-""),2)),C119)"),"BAC Jimbaran")</f>
        <v>BAC Jimbaran</v>
      </c>
      <c r="G119" s="3" t="str">
        <f>IFERROR(__xludf.DUMMYFUNCTION("TRIM(INDEX(SPLIT(C119,""-""),1))"),"Denpasar")</f>
        <v>Denpasar</v>
      </c>
      <c r="H119" s="3" t="str">
        <f>IFERROR(__xludf.DUMMYFUNCTION("TRIM(INDEX(SPLIT(C119,""-""),2))"),"Jimbaran")</f>
        <v>Jimbaran</v>
      </c>
      <c r="I119" s="3"/>
      <c r="J119" s="7">
        <v>-8.782285</v>
      </c>
      <c r="K119" s="7">
        <v>115.1673793</v>
      </c>
    </row>
    <row r="120">
      <c r="A120" s="3">
        <f t="shared" si="1"/>
        <v>119</v>
      </c>
      <c r="B120" s="4" t="s">
        <v>10</v>
      </c>
      <c r="C120" s="5" t="s">
        <v>286</v>
      </c>
      <c r="D120" s="6" t="s">
        <v>287</v>
      </c>
      <c r="E120" s="3"/>
      <c r="F120" s="3" t="str">
        <f>IFERROR(__xludf.DUMMYFUNCTION("SWITCH(
  TRUE,
  REGEXMATCH(B120,""Brain Academy""),""BAC"",
  REGEXMATCH(B120,""English Academy""),""EAC"",
  """"
)&amp;"" ""&amp;IFERROR(TRIM(INDEX(SPLIT(C120,""-""),2)),C120)"),"BAC Tengku Raja Muda")</f>
        <v>BAC Tengku Raja Muda</v>
      </c>
      <c r="G120" s="3" t="str">
        <f>IFERROR(__xludf.DUMMYFUNCTION("TRIM(INDEX(SPLIT(C120,""-""),1))"),"Lubuk Pakam")</f>
        <v>Lubuk Pakam</v>
      </c>
      <c r="H120" s="3" t="str">
        <f>IFERROR(__xludf.DUMMYFUNCTION("TRIM(INDEX(SPLIT(C120,""-""),2))"),"Tengku Raja Muda")</f>
        <v>Tengku Raja Muda</v>
      </c>
      <c r="I120" s="3"/>
      <c r="J120" s="7">
        <v>3.5578619</v>
      </c>
      <c r="K120" s="7">
        <v>98.8686767</v>
      </c>
    </row>
    <row r="121">
      <c r="A121" s="3">
        <f t="shared" si="1"/>
        <v>120</v>
      </c>
      <c r="B121" s="4" t="s">
        <v>10</v>
      </c>
      <c r="C121" s="5" t="s">
        <v>288</v>
      </c>
      <c r="D121" s="6" t="s">
        <v>289</v>
      </c>
      <c r="E121" s="3"/>
      <c r="F121" s="3" t="str">
        <f>IFERROR(__xludf.DUMMYFUNCTION("SWITCH(
  TRUE,
  REGEXMATCH(B121,""Brain Academy""),""BAC"",
  REGEXMATCH(B121,""English Academy""),""EAC"",
  """"
)&amp;"" ""&amp;IFERROR(TRIM(INDEX(SPLIT(C121,""-""),2)),C121)"),"BAC Gajah Mada")</f>
        <v>BAC Gajah Mada</v>
      </c>
      <c r="G121" s="3" t="str">
        <f>IFERROR(__xludf.DUMMYFUNCTION("TRIM(INDEX(SPLIT(C121,""-""),1))"),"Padang")</f>
        <v>Padang</v>
      </c>
      <c r="H121" s="3" t="str">
        <f>IFERROR(__xludf.DUMMYFUNCTION("TRIM(INDEX(SPLIT(C121,""-""),2))"),"Gajah Mada")</f>
        <v>Gajah Mada</v>
      </c>
      <c r="I121" s="3"/>
      <c r="J121" s="7">
        <v>-0.9079972</v>
      </c>
      <c r="K121" s="7">
        <v>100.3661843</v>
      </c>
    </row>
    <row r="122">
      <c r="A122" s="3">
        <f t="shared" si="1"/>
        <v>121</v>
      </c>
      <c r="B122" s="4" t="s">
        <v>10</v>
      </c>
      <c r="C122" s="5" t="s">
        <v>290</v>
      </c>
      <c r="D122" s="6" t="s">
        <v>291</v>
      </c>
      <c r="E122" s="3"/>
      <c r="F122" s="3" t="str">
        <f>IFERROR(__xludf.DUMMYFUNCTION("SWITCH(
  TRUE,
  REGEXMATCH(B122,""Brain Academy""),""BAC"",
  REGEXMATCH(B122,""English Academy""),""EAC"",
  """"
)&amp;"" ""&amp;IFERROR(TRIM(INDEX(SPLIT(C122,""-""),2)),C122)"),"BAC Merdeka")</f>
        <v>BAC Merdeka</v>
      </c>
      <c r="G122" s="3" t="str">
        <f>IFERROR(__xludf.DUMMYFUNCTION("TRIM(INDEX(SPLIT(C122,""-""),1))"),"Boyolali")</f>
        <v>Boyolali</v>
      </c>
      <c r="H122" s="3" t="str">
        <f>IFERROR(__xludf.DUMMYFUNCTION("TRIM(INDEX(SPLIT(C122,""-""),2))"),"Merdeka")</f>
        <v>Merdeka</v>
      </c>
      <c r="I122" s="3"/>
      <c r="J122" s="7">
        <v>-7.5447046</v>
      </c>
      <c r="K122" s="7">
        <v>110.6123397</v>
      </c>
    </row>
    <row r="123">
      <c r="A123" s="3">
        <f t="shared" si="1"/>
        <v>122</v>
      </c>
      <c r="B123" s="4" t="s">
        <v>10</v>
      </c>
      <c r="C123" s="5" t="s">
        <v>292</v>
      </c>
      <c r="D123" s="6" t="s">
        <v>293</v>
      </c>
      <c r="E123" s="3"/>
      <c r="F123" s="3" t="str">
        <f>IFERROR(__xludf.DUMMYFUNCTION("SWITCH(
  TRUE,
  REGEXMATCH(B123,""Brain Academy""),""BAC"",
  REGEXMATCH(B123,""English Academy""),""EAC"",
  """"
)&amp;"" ""&amp;IFERROR(TRIM(INDEX(SPLIT(C123,""-""),2)),C123)"),"BAC Gose")</f>
        <v>BAC Gose</v>
      </c>
      <c r="G123" s="3" t="str">
        <f>IFERROR(__xludf.DUMMYFUNCTION("TRIM(INDEX(SPLIT(C123,""-""),1))"),"Bantul")</f>
        <v>Bantul</v>
      </c>
      <c r="H123" s="3" t="str">
        <f>IFERROR(__xludf.DUMMYFUNCTION("TRIM(INDEX(SPLIT(C123,""-""),2))"),"Gose")</f>
        <v>Gose</v>
      </c>
      <c r="I123" s="3"/>
      <c r="J123" s="7">
        <v>-7.897250599999999</v>
      </c>
      <c r="K123" s="7">
        <v>110.3231292</v>
      </c>
    </row>
    <row r="124">
      <c r="A124" s="3">
        <f t="shared" si="1"/>
        <v>123</v>
      </c>
      <c r="B124" s="4" t="s">
        <v>10</v>
      </c>
      <c r="C124" s="5" t="s">
        <v>294</v>
      </c>
      <c r="D124" s="6" t="s">
        <v>295</v>
      </c>
      <c r="E124" s="3"/>
      <c r="F124" s="3" t="str">
        <f>IFERROR(__xludf.DUMMYFUNCTION("SWITCH(
  TRUE,
  REGEXMATCH(B124,""Brain Academy""),""BAC"",
  REGEXMATCH(B124,""English Academy""),""EAC"",
  """"
)&amp;"" ""&amp;IFERROR(TRIM(INDEX(SPLIT(C124,""-""),2)),C124)"),"BAC Dr. Wahidin")</f>
        <v>BAC Dr. Wahidin</v>
      </c>
      <c r="G124" s="3" t="str">
        <f>IFERROR(__xludf.DUMMYFUNCTION("TRIM(INDEX(SPLIT(C124,""-""),1))"),"Kisaran")</f>
        <v>Kisaran</v>
      </c>
      <c r="H124" s="3" t="str">
        <f>IFERROR(__xludf.DUMMYFUNCTION("TRIM(INDEX(SPLIT(C124,""-""),2))"),"Dr. Wahidin")</f>
        <v>Dr. Wahidin</v>
      </c>
      <c r="I124" s="3"/>
      <c r="J124" s="7">
        <v>2.9826958</v>
      </c>
      <c r="K124" s="7">
        <v>99.6218651</v>
      </c>
    </row>
    <row r="125">
      <c r="A125" s="3">
        <f t="shared" si="1"/>
        <v>124</v>
      </c>
      <c r="B125" s="4" t="s">
        <v>10</v>
      </c>
      <c r="C125" s="5" t="s">
        <v>296</v>
      </c>
      <c r="D125" s="6" t="s">
        <v>297</v>
      </c>
      <c r="E125" s="3"/>
      <c r="F125" s="3" t="str">
        <f>IFERROR(__xludf.DUMMYFUNCTION("SWITCH(
  TRUE,
  REGEXMATCH(B125,""Brain Academy""),""BAC"",
  REGEXMATCH(B125,""English Academy""),""EAC"",
  """"
)&amp;"" ""&amp;IFERROR(TRIM(INDEX(SPLIT(C125,""-""),2)),C125)"),"BAC Sawojajar")</f>
        <v>BAC Sawojajar</v>
      </c>
      <c r="G125" s="3" t="str">
        <f>IFERROR(__xludf.DUMMYFUNCTION("TRIM(INDEX(SPLIT(C125,""-""),1))"),"Malang")</f>
        <v>Malang</v>
      </c>
      <c r="H125" s="3" t="str">
        <f>IFERROR(__xludf.DUMMYFUNCTION("TRIM(INDEX(SPLIT(C125,""-""),2))"),"Sawojajar")</f>
        <v>Sawojajar</v>
      </c>
      <c r="I125" s="4" t="s">
        <v>113</v>
      </c>
      <c r="J125" s="4">
        <v>-7.9804793</v>
      </c>
      <c r="K125" s="4">
        <v>112.6568024</v>
      </c>
    </row>
    <row r="126">
      <c r="A126" s="3">
        <f t="shared" si="1"/>
        <v>125</v>
      </c>
      <c r="B126" s="4" t="s">
        <v>10</v>
      </c>
      <c r="C126" s="5" t="s">
        <v>298</v>
      </c>
      <c r="D126" s="6" t="s">
        <v>299</v>
      </c>
      <c r="E126" s="3"/>
      <c r="F126" s="3" t="str">
        <f>IFERROR(__xludf.DUMMYFUNCTION("SWITCH(
  TRUE,
  REGEXMATCH(B126,""Brain Academy""),""BAC"",
  REGEXMATCH(B126,""English Academy""),""EAC"",
  """"
)&amp;"" ""&amp;IFERROR(TRIM(INDEX(SPLIT(C126,""-""),2)),C126)"),"BAC Moh. Yamin")</f>
        <v>BAC Moh. Yamin</v>
      </c>
      <c r="G126" s="3" t="str">
        <f>IFERROR(__xludf.DUMMYFUNCTION("TRIM(INDEX(SPLIT(C126,""-""),1))"),"Salatiga")</f>
        <v>Salatiga</v>
      </c>
      <c r="H126" s="3" t="str">
        <f>IFERROR(__xludf.DUMMYFUNCTION("TRIM(INDEX(SPLIT(C126,""-""),2))"),"Moh. Yamin")</f>
        <v>Moh. Yamin</v>
      </c>
      <c r="I126" s="3"/>
      <c r="J126" s="7">
        <v>-7.325446899999998</v>
      </c>
      <c r="K126" s="7">
        <v>110.5029146</v>
      </c>
    </row>
    <row r="127">
      <c r="A127" s="3">
        <f t="shared" si="1"/>
        <v>126</v>
      </c>
      <c r="B127" s="4" t="s">
        <v>10</v>
      </c>
      <c r="C127" s="5" t="s">
        <v>300</v>
      </c>
      <c r="D127" s="6" t="s">
        <v>301</v>
      </c>
      <c r="E127" s="3"/>
      <c r="F127" s="3" t="str">
        <f>IFERROR(__xludf.DUMMYFUNCTION("SWITCH(
  TRUE,
  REGEXMATCH(B127,""Brain Academy""),""BAC"",
  REGEXMATCH(B127,""English Academy""),""EAC"",
  """"
)&amp;"" ""&amp;IFERROR(TRIM(INDEX(SPLIT(C127,""-""),2)),C127)"),"BAC Ahmad Yani")</f>
        <v>BAC Ahmad Yani</v>
      </c>
      <c r="G127" s="3" t="str">
        <f>IFERROR(__xludf.DUMMYFUNCTION("TRIM(INDEX(SPLIT(C127,""-""),1))"),"Rantau Prapat")</f>
        <v>Rantau Prapat</v>
      </c>
      <c r="H127" s="3" t="str">
        <f>IFERROR(__xludf.DUMMYFUNCTION("TRIM(INDEX(SPLIT(C127,""-""),2))"),"Ahmad Yani")</f>
        <v>Ahmad Yani</v>
      </c>
      <c r="I127" s="3"/>
      <c r="J127" s="7">
        <v>2.0930066</v>
      </c>
      <c r="K127" s="7">
        <v>99.83720269999999</v>
      </c>
    </row>
    <row r="128">
      <c r="A128" s="3">
        <f t="shared" si="1"/>
        <v>127</v>
      </c>
      <c r="B128" s="4" t="s">
        <v>10</v>
      </c>
      <c r="C128" s="5" t="s">
        <v>302</v>
      </c>
      <c r="D128" s="6" t="s">
        <v>303</v>
      </c>
      <c r="E128" s="3"/>
      <c r="F128" s="3" t="str">
        <f>IFERROR(__xludf.DUMMYFUNCTION("SWITCH(
  TRUE,
  REGEXMATCH(B128,""Brain Academy""),""BAC"",
  REGEXMATCH(B128,""English Academy""),""EAC"",
  """"
)&amp;"" ""&amp;IFERROR(TRIM(INDEX(SPLIT(C128,""-""),2)),C128)"),"BAC Diponegoro")</f>
        <v>BAC Diponegoro</v>
      </c>
      <c r="G128" s="3" t="str">
        <f>IFERROR(__xludf.DUMMYFUNCTION("TRIM(INDEX(SPLIT(C128,""-""),1))"),"Magelang")</f>
        <v>Magelang</v>
      </c>
      <c r="H128" s="3" t="str">
        <f>IFERROR(__xludf.DUMMYFUNCTION("TRIM(INDEX(SPLIT(C128,""-""),2))"),"Diponegoro")</f>
        <v>Diponegoro</v>
      </c>
      <c r="I128" s="3"/>
      <c r="J128" s="7">
        <v>-7.481417899999999</v>
      </c>
      <c r="K128" s="7">
        <v>110.2141775</v>
      </c>
    </row>
    <row r="129">
      <c r="A129" s="3">
        <f t="shared" si="1"/>
        <v>128</v>
      </c>
      <c r="B129" s="4" t="s">
        <v>10</v>
      </c>
      <c r="C129" s="5" t="s">
        <v>304</v>
      </c>
      <c r="D129" s="6" t="s">
        <v>305</v>
      </c>
      <c r="E129" s="3"/>
      <c r="F129" s="3" t="str">
        <f>IFERROR(__xludf.DUMMYFUNCTION("SWITCH(
  TRUE,
  REGEXMATCH(B129,""Brain Academy""),""BAC"",
  REGEXMATCH(B129,""English Academy""),""EAC"",
  """"
)&amp;"" ""&amp;IFERROR(TRIM(INDEX(SPLIT(C129,""-""),2)),C129)"),"BAC Karawaci")</f>
        <v>BAC Karawaci</v>
      </c>
      <c r="G129" s="3" t="str">
        <f>IFERROR(__xludf.DUMMYFUNCTION("TRIM(INDEX(SPLIT(C129,""-""),1))"),"Tangerang")</f>
        <v>Tangerang</v>
      </c>
      <c r="H129" s="3" t="str">
        <f>IFERROR(__xludf.DUMMYFUNCTION("TRIM(INDEX(SPLIT(C129,""-""),2))"),"Karawaci")</f>
        <v>Karawaci</v>
      </c>
      <c r="I129" s="3"/>
      <c r="J129" s="7">
        <v>-6.2101254</v>
      </c>
      <c r="K129" s="7">
        <v>106.6115471</v>
      </c>
    </row>
    <row r="130">
      <c r="A130" s="3">
        <f t="shared" si="1"/>
        <v>129</v>
      </c>
      <c r="B130" s="4" t="s">
        <v>10</v>
      </c>
      <c r="C130" s="5" t="s">
        <v>306</v>
      </c>
      <c r="D130" s="6" t="s">
        <v>307</v>
      </c>
      <c r="E130" s="3"/>
      <c r="F130" s="3" t="str">
        <f>IFERROR(__xludf.DUMMYFUNCTION("SWITCH(
  TRUE,
  REGEXMATCH(B130,""Brain Academy""),""BAC"",
  REGEXMATCH(B130,""English Academy""),""EAC"",
  """"
)&amp;"" ""&amp;IFERROR(TRIM(INDEX(SPLIT(C130,""-""),2)),C130)"),"BAC Siliwangi")</f>
        <v>BAC Siliwangi</v>
      </c>
      <c r="G130" s="3" t="str">
        <f>IFERROR(__xludf.DUMMYFUNCTION("TRIM(INDEX(SPLIT(C130,""-""),1))"),"Kuningan")</f>
        <v>Kuningan</v>
      </c>
      <c r="H130" s="3" t="str">
        <f>IFERROR(__xludf.DUMMYFUNCTION("TRIM(INDEX(SPLIT(C130,""-""),2))"),"Siliwangi")</f>
        <v>Siliwangi</v>
      </c>
      <c r="I130" s="3"/>
      <c r="J130" s="7">
        <v>-6.9739865</v>
      </c>
      <c r="K130" s="7">
        <v>108.4852278</v>
      </c>
    </row>
    <row r="131">
      <c r="A131" s="3">
        <f t="shared" si="1"/>
        <v>130</v>
      </c>
      <c r="B131" s="4" t="s">
        <v>10</v>
      </c>
      <c r="C131" s="5" t="s">
        <v>308</v>
      </c>
      <c r="D131" s="6" t="s">
        <v>309</v>
      </c>
      <c r="E131" s="3"/>
      <c r="F131" s="3" t="str">
        <f>IFERROR(__xludf.DUMMYFUNCTION("SWITCH(
  TRUE,
  REGEXMATCH(B131,""Brain Academy""),""BAC"",
  REGEXMATCH(B131,""English Academy""),""EAC"",
  """"
)&amp;"" ""&amp;IFERROR(TRIM(INDEX(SPLIT(C131,""-""),2)),C131)"),"BAC Imam Munandar")</f>
        <v>BAC Imam Munandar</v>
      </c>
      <c r="G131" s="3" t="str">
        <f>IFERROR(__xludf.DUMMYFUNCTION("TRIM(INDEX(SPLIT(C131,""-""),1))"),"Pekanbaru")</f>
        <v>Pekanbaru</v>
      </c>
      <c r="H131" s="3" t="str">
        <f>IFERROR(__xludf.DUMMYFUNCTION("TRIM(INDEX(SPLIT(C131,""-""),2))"),"Imam Munandar")</f>
        <v>Imam Munandar</v>
      </c>
      <c r="I131" s="3"/>
      <c r="J131" s="7">
        <v>0.4988619</v>
      </c>
      <c r="K131" s="7">
        <v>101.4796176</v>
      </c>
    </row>
    <row r="132">
      <c r="A132" s="3">
        <f t="shared" si="1"/>
        <v>131</v>
      </c>
      <c r="B132" s="4" t="s">
        <v>10</v>
      </c>
      <c r="C132" s="5" t="s">
        <v>310</v>
      </c>
      <c r="D132" s="6" t="s">
        <v>311</v>
      </c>
      <c r="E132" s="3"/>
      <c r="F132" s="3" t="str">
        <f>IFERROR(__xludf.DUMMYFUNCTION("SWITCH(
  TRUE,
  REGEXMATCH(B132,""Brain Academy""),""BAC"",
  REGEXMATCH(B132,""English Academy""),""EAC"",
  """"
)&amp;"" ""&amp;IFERROR(TRIM(INDEX(SPLIT(C132,""-""),2)),C132)"),"BAC Ahmad Yani")</f>
        <v>BAC Ahmad Yani</v>
      </c>
      <c r="G132" s="3" t="str">
        <f>IFERROR(__xludf.DUMMYFUNCTION("TRIM(INDEX(SPLIT(C132,""-""),1))"),"Banjarbaru")</f>
        <v>Banjarbaru</v>
      </c>
      <c r="H132" s="3" t="str">
        <f>IFERROR(__xludf.DUMMYFUNCTION("TRIM(INDEX(SPLIT(C132,""-""),2))"),"Ahmad Yani")</f>
        <v>Ahmad Yani</v>
      </c>
      <c r="I132" s="3"/>
      <c r="J132" s="7">
        <v>-3.4420631</v>
      </c>
      <c r="K132" s="7">
        <v>114.8307474</v>
      </c>
    </row>
    <row r="133">
      <c r="A133" s="3">
        <f t="shared" si="1"/>
        <v>132</v>
      </c>
      <c r="B133" s="4" t="s">
        <v>10</v>
      </c>
      <c r="C133" s="5" t="s">
        <v>312</v>
      </c>
      <c r="D133" s="6" t="s">
        <v>313</v>
      </c>
      <c r="E133" s="3"/>
      <c r="F133" s="3" t="str">
        <f>IFERROR(__xludf.DUMMYFUNCTION("SWITCH(
  TRUE,
  REGEXMATCH(B133,""Brain Academy""),""BAC"",
  REGEXMATCH(B133,""English Academy""),""EAC"",
  """"
)&amp;"" ""&amp;IFERROR(TRIM(INDEX(SPLIT(C133,""-""),2)),C133)"),"BAC Hasan Bashri")</f>
        <v>BAC Hasan Bashri</v>
      </c>
      <c r="G133" s="3" t="str">
        <f>IFERROR(__xludf.DUMMYFUNCTION("TRIM(INDEX(SPLIT(C133,""-""),1))"),"Banjarmasin")</f>
        <v>Banjarmasin</v>
      </c>
      <c r="H133" s="3" t="str">
        <f>IFERROR(__xludf.DUMMYFUNCTION("TRIM(INDEX(SPLIT(C133,""-""),2))"),"Hasan Bashri")</f>
        <v>Hasan Bashri</v>
      </c>
      <c r="I133" s="3"/>
      <c r="J133" s="7">
        <v>-3.2954917</v>
      </c>
      <c r="K133" s="7">
        <v>114.5872454</v>
      </c>
    </row>
    <row r="134">
      <c r="A134" s="3">
        <f t="shared" si="1"/>
        <v>133</v>
      </c>
      <c r="B134" s="4" t="s">
        <v>10</v>
      </c>
      <c r="C134" s="5" t="s">
        <v>314</v>
      </c>
      <c r="D134" s="6" t="s">
        <v>315</v>
      </c>
      <c r="E134" s="3"/>
      <c r="F134" s="3" t="str">
        <f>IFERROR(__xludf.DUMMYFUNCTION("SWITCH(
  TRUE,
  REGEXMATCH(B134,""Brain Academy""),""BAC"",
  REGEXMATCH(B134,""English Academy""),""EAC"",
  """"
)&amp;"" ""&amp;IFERROR(TRIM(INDEX(SPLIT(C134,""-""),2)),C134)"),"BAC Cengkareng")</f>
        <v>BAC Cengkareng</v>
      </c>
      <c r="G134" s="3" t="str">
        <f>IFERROR(__xludf.DUMMYFUNCTION("TRIM(INDEX(SPLIT(C134,""-""),1))"),"Jakarta Barat")</f>
        <v>Jakarta Barat</v>
      </c>
      <c r="H134" s="3" t="str">
        <f>IFERROR(__xludf.DUMMYFUNCTION("TRIM(INDEX(SPLIT(C134,""-""),2))"),"Cengkareng")</f>
        <v>Cengkareng</v>
      </c>
      <c r="I134" s="3"/>
      <c r="J134" s="7">
        <v>-6.1753498</v>
      </c>
      <c r="K134" s="7">
        <v>106.7068493</v>
      </c>
    </row>
    <row r="135">
      <c r="A135" s="3">
        <f t="shared" si="1"/>
        <v>134</v>
      </c>
      <c r="B135" s="4" t="s">
        <v>10</v>
      </c>
      <c r="C135" s="5" t="s">
        <v>316</v>
      </c>
      <c r="D135" s="6" t="s">
        <v>317</v>
      </c>
      <c r="E135" s="3"/>
      <c r="F135" s="3" t="str">
        <f>IFERROR(__xludf.DUMMYFUNCTION("SWITCH(
  TRUE,
  REGEXMATCH(B135,""Brain Academy""),""BAC"",
  REGEXMATCH(B135,""English Academy""),""EAC"",
  """"
)&amp;"" ""&amp;IFERROR(TRIM(INDEX(SPLIT(C135,""-""),2)),C135)"),"BAC Sagan")</f>
        <v>BAC Sagan</v>
      </c>
      <c r="G135" s="3" t="str">
        <f>IFERROR(__xludf.DUMMYFUNCTION("TRIM(INDEX(SPLIT(C135,""-""),1))"),"Yogyakarta")</f>
        <v>Yogyakarta</v>
      </c>
      <c r="H135" s="4" t="s">
        <v>318</v>
      </c>
      <c r="I135" s="3"/>
      <c r="J135" s="7">
        <v>-7.7814586</v>
      </c>
      <c r="K135" s="7">
        <v>110.3791722</v>
      </c>
    </row>
    <row r="136">
      <c r="A136" s="3">
        <f t="shared" si="1"/>
        <v>135</v>
      </c>
      <c r="B136" s="4" t="s">
        <v>10</v>
      </c>
      <c r="C136" s="5" t="s">
        <v>319</v>
      </c>
      <c r="D136" s="6" t="s">
        <v>320</v>
      </c>
      <c r="E136" s="3"/>
      <c r="F136" s="3" t="str">
        <f>IFERROR(__xludf.DUMMYFUNCTION("SWITCH(
  TRUE,
  REGEXMATCH(B136,""Brain Academy""),""BAC"",
  REGEXMATCH(B136,""English Academy""),""EAC"",
  """"
)&amp;"" ""&amp;IFERROR(TRIM(INDEX(SPLIT(C136,""-""),2)),C136)"),"BAC Cokroaminoto")</f>
        <v>BAC Cokroaminoto</v>
      </c>
      <c r="G136" s="3" t="str">
        <f>IFERROR(__xludf.DUMMYFUNCTION("TRIM(INDEX(SPLIT(C136,""-""),1))"),"Tegal")</f>
        <v>Tegal</v>
      </c>
      <c r="H136" s="3" t="str">
        <f>IFERROR(__xludf.DUMMYFUNCTION("TRIM(INDEX(SPLIT(C136,""-""),2))"),"Cokroaminoto")</f>
        <v>Cokroaminoto</v>
      </c>
      <c r="I136" s="3"/>
      <c r="J136" s="7">
        <v>-6.8666182</v>
      </c>
      <c r="K136" s="7">
        <v>109.1342719</v>
      </c>
    </row>
    <row r="137">
      <c r="A137" s="3">
        <f t="shared" si="1"/>
        <v>136</v>
      </c>
      <c r="B137" s="4" t="s">
        <v>10</v>
      </c>
      <c r="C137" s="5" t="s">
        <v>321</v>
      </c>
      <c r="D137" s="6" t="s">
        <v>322</v>
      </c>
      <c r="E137" s="3"/>
      <c r="F137" s="3" t="str">
        <f>IFERROR(__xludf.DUMMYFUNCTION("SWITCH(
  TRUE,
  REGEXMATCH(B137,""Brain Academy""),""BAC"",
  REGEXMATCH(B137,""English Academy""),""EAC"",
  """"
)&amp;"" ""&amp;IFERROR(TRIM(INDEX(SPLIT(C137,""-""),2)),C137)"),"BAC Dr. Wahidin")</f>
        <v>BAC Dr. Wahidin</v>
      </c>
      <c r="G137" s="3" t="str">
        <f>IFERROR(__xludf.DUMMYFUNCTION("TRIM(INDEX(SPLIT(C137,""-""),1))"),"Tulungagung")</f>
        <v>Tulungagung</v>
      </c>
      <c r="H137" s="3" t="str">
        <f>IFERROR(__xludf.DUMMYFUNCTION("TRIM(INDEX(SPLIT(C137,""-""),2))"),"Dr. Wahidin")</f>
        <v>Dr. Wahidin</v>
      </c>
      <c r="I137" s="3"/>
      <c r="J137" s="7">
        <v>-8.0557198</v>
      </c>
      <c r="K137" s="7">
        <v>111.9117734</v>
      </c>
    </row>
    <row r="138">
      <c r="A138" s="3">
        <f t="shared" si="1"/>
        <v>137</v>
      </c>
      <c r="B138" s="4" t="s">
        <v>10</v>
      </c>
      <c r="C138" s="5" t="s">
        <v>323</v>
      </c>
      <c r="D138" s="6" t="s">
        <v>324</v>
      </c>
      <c r="E138" s="3"/>
      <c r="F138" s="3" t="str">
        <f>IFERROR(__xludf.DUMMYFUNCTION("SWITCH(
  TRUE,
  REGEXMATCH(B138,""Brain Academy""),""BAC"",
  REGEXMATCH(B138,""English Academy""),""EAC"",
  """"
)&amp;"" ""&amp;IFERROR(TRIM(INDEX(SPLIT(C138,""-""),2)),C138)"),"BAC Batam Center")</f>
        <v>BAC Batam Center</v>
      </c>
      <c r="G138" s="3" t="str">
        <f>IFERROR(__xludf.DUMMYFUNCTION("TRIM(INDEX(SPLIT(C138,""-""),1))"),"Batam")</f>
        <v>Batam</v>
      </c>
      <c r="H138" s="3" t="str">
        <f>IFERROR(__xludf.DUMMYFUNCTION("TRIM(INDEX(SPLIT(C138,""-""),2))"),"Batam Center")</f>
        <v>Batam Center</v>
      </c>
      <c r="I138" s="3"/>
      <c r="J138" s="7">
        <v>1.1567736</v>
      </c>
      <c r="K138" s="7">
        <v>104.0358453</v>
      </c>
    </row>
    <row r="139">
      <c r="A139" s="3">
        <f t="shared" si="1"/>
        <v>138</v>
      </c>
      <c r="B139" s="4" t="s">
        <v>10</v>
      </c>
      <c r="C139" s="5" t="s">
        <v>325</v>
      </c>
      <c r="D139" s="6" t="s">
        <v>326</v>
      </c>
      <c r="E139" s="3"/>
      <c r="F139" s="3" t="str">
        <f>IFERROR(__xludf.DUMMYFUNCTION("SWITCH(
  TRUE,
  REGEXMATCH(B139,""Brain Academy""),""BAC"",
  REGEXMATCH(B139,""English Academy""),""EAC"",
  """"
)&amp;"" ""&amp;IFERROR(TRIM(INDEX(SPLIT(C139,""-""),2)),C139)"),"BAC Tebet")</f>
        <v>BAC Tebet</v>
      </c>
      <c r="G139" s="3" t="str">
        <f>IFERROR(__xludf.DUMMYFUNCTION("TRIM(INDEX(SPLIT(C139,""-""),1))"),"Jakarta Selatan")</f>
        <v>Jakarta Selatan</v>
      </c>
      <c r="H139" s="3" t="str">
        <f>IFERROR(__xludf.DUMMYFUNCTION("TRIM(INDEX(SPLIT(C139,""-""),2))"),"Tebet")</f>
        <v>Tebet</v>
      </c>
      <c r="I139" s="4" t="s">
        <v>327</v>
      </c>
      <c r="J139" s="4">
        <v>-6.2300477</v>
      </c>
      <c r="K139" s="4">
        <v>106.8517477</v>
      </c>
    </row>
    <row r="140">
      <c r="A140" s="3">
        <f t="shared" si="1"/>
        <v>139</v>
      </c>
      <c r="B140" s="4" t="s">
        <v>10</v>
      </c>
      <c r="C140" s="5" t="s">
        <v>328</v>
      </c>
      <c r="D140" s="6" t="s">
        <v>329</v>
      </c>
      <c r="E140" s="3"/>
      <c r="F140" s="3" t="str">
        <f>IFERROR(__xludf.DUMMYFUNCTION("SWITCH(
  TRUE,
  REGEXMATCH(B140,""Brain Academy""),""BAC"",
  REGEXMATCH(B140,""English Academy""),""EAC"",
  """"
)&amp;"" ""&amp;IFERROR(TRIM(INDEX(SPLIT(C140,""-""),2)),C140)"),"BAC Brawijaya")</f>
        <v>BAC Brawijaya</v>
      </c>
      <c r="G140" s="3" t="str">
        <f>IFERROR(__xludf.DUMMYFUNCTION("TRIM(INDEX(SPLIT(C140,""-""),1))"),"Banyuwangi")</f>
        <v>Banyuwangi</v>
      </c>
      <c r="H140" s="3" t="str">
        <f>IFERROR(__xludf.DUMMYFUNCTION("TRIM(INDEX(SPLIT(C140,""-""),2))"),"Brawijaya")</f>
        <v>Brawijaya</v>
      </c>
      <c r="I140" s="3"/>
      <c r="J140" s="7">
        <v>-8.2183237</v>
      </c>
      <c r="K140" s="7">
        <v>114.3539215</v>
      </c>
    </row>
    <row r="141">
      <c r="A141" s="3">
        <f t="shared" si="1"/>
        <v>140</v>
      </c>
      <c r="B141" s="4" t="s">
        <v>10</v>
      </c>
      <c r="C141" s="5" t="s">
        <v>330</v>
      </c>
      <c r="D141" s="6" t="s">
        <v>331</v>
      </c>
      <c r="E141" s="3"/>
      <c r="F141" s="3" t="str">
        <f>IFERROR(__xludf.DUMMYFUNCTION("SWITCH(
  TRUE,
  REGEXMATCH(B141,""Brain Academy""),""BAC"",
  REGEXMATCH(B141,""English Academy""),""EAC"",
  """"
)&amp;"" ""&amp;IFERROR(TRIM(INDEX(SPLIT(C141,""-""),2)),C141)"),"BAC Slamet Riyadi")</f>
        <v>BAC Slamet Riyadi</v>
      </c>
      <c r="G141" s="3" t="str">
        <f>IFERROR(__xludf.DUMMYFUNCTION("TRIM(INDEX(SPLIT(C141,""-""),1))"),"Probolinggo")</f>
        <v>Probolinggo</v>
      </c>
      <c r="H141" s="3" t="str">
        <f>IFERROR(__xludf.DUMMYFUNCTION("TRIM(INDEX(SPLIT(C141,""-""),2))"),"Slamet Riyadi")</f>
        <v>Slamet Riyadi</v>
      </c>
      <c r="I141" s="3"/>
      <c r="J141" s="7">
        <v>-7.7681817</v>
      </c>
      <c r="K141" s="7">
        <v>113.2125537</v>
      </c>
    </row>
    <row r="142">
      <c r="A142" s="3">
        <f t="shared" si="1"/>
        <v>141</v>
      </c>
      <c r="B142" s="4" t="s">
        <v>10</v>
      </c>
      <c r="C142" s="5" t="s">
        <v>332</v>
      </c>
      <c r="D142" s="6" t="s">
        <v>333</v>
      </c>
      <c r="E142" s="3"/>
      <c r="F142" s="3" t="str">
        <f>IFERROR(__xludf.DUMMYFUNCTION("SWITCH(
  TRUE,
  REGEXMATCH(B142,""Brain Academy""),""BAC"",
  REGEXMATCH(B142,""English Academy""),""EAC"",
  """"
)&amp;"" ""&amp;IFERROR(TRIM(INDEX(SPLIT(C142,""-""),2)),C142)"),"BAC Kepanjen")</f>
        <v>BAC Kepanjen</v>
      </c>
      <c r="G142" s="3" t="str">
        <f>IFERROR(__xludf.DUMMYFUNCTION("TRIM(INDEX(SPLIT(C142,""-""),1))"),"Malang")</f>
        <v>Malang</v>
      </c>
      <c r="H142" s="3" t="str">
        <f>IFERROR(__xludf.DUMMYFUNCTION("TRIM(INDEX(SPLIT(C142,""-""),2))"),"Kepanjen")</f>
        <v>Kepanjen</v>
      </c>
      <c r="I142" s="3"/>
      <c r="J142" s="7">
        <v>-8.1298493</v>
      </c>
      <c r="K142" s="7">
        <v>112.5649557</v>
      </c>
    </row>
    <row r="143">
      <c r="A143" s="3">
        <f t="shared" si="1"/>
        <v>142</v>
      </c>
      <c r="B143" s="4" t="s">
        <v>10</v>
      </c>
      <c r="C143" s="5" t="s">
        <v>334</v>
      </c>
      <c r="D143" s="6" t="s">
        <v>335</v>
      </c>
      <c r="E143" s="3"/>
      <c r="F143" s="3" t="str">
        <f>IFERROR(__xludf.DUMMYFUNCTION("SWITCH(
  TRUE,
  REGEXMATCH(B143,""Brain Academy""),""BAC"",
  REGEXMATCH(B143,""English Academy""),""EAC"",
  """"
)&amp;"" ""&amp;IFERROR(TRIM(INDEX(SPLIT(C143,""-""),2)),C143)"),"BAC Sukowati")</f>
        <v>BAC Sukowati</v>
      </c>
      <c r="G143" s="3" t="str">
        <f>IFERROR(__xludf.DUMMYFUNCTION("TRIM(INDEX(SPLIT(C143,""-""),1))"),"Sragen")</f>
        <v>Sragen</v>
      </c>
      <c r="H143" s="3" t="str">
        <f>IFERROR(__xludf.DUMMYFUNCTION("TRIM(INDEX(SPLIT(C143,""-""),2))"),"Sukowati")</f>
        <v>Sukowati</v>
      </c>
      <c r="I143" s="3"/>
      <c r="J143" s="7">
        <v>-7.429151600000001</v>
      </c>
      <c r="K143" s="7">
        <v>111.0142174</v>
      </c>
    </row>
    <row r="144">
      <c r="A144" s="3">
        <f t="shared" si="1"/>
        <v>143</v>
      </c>
      <c r="B144" s="4" t="s">
        <v>10</v>
      </c>
      <c r="C144" s="5" t="s">
        <v>336</v>
      </c>
      <c r="D144" s="6" t="s">
        <v>337</v>
      </c>
      <c r="E144" s="3"/>
      <c r="F144" s="3" t="str">
        <f>IFERROR(__xludf.DUMMYFUNCTION("SWITCH(
  TRUE,
  REGEXMATCH(B144,""Brain Academy""),""BAC"",
  REGEXMATCH(B144,""English Academy""),""EAC"",
  """"
)&amp;"" ""&amp;IFERROR(TRIM(INDEX(SPLIT(C144,""-""),2)),C144)"),"BAC Gajahmungkur")</f>
        <v>BAC Gajahmungkur</v>
      </c>
      <c r="G144" s="3" t="str">
        <f>IFERROR(__xludf.DUMMYFUNCTION("TRIM(INDEX(SPLIT(C144,""-""),1))"),"Wonogiri")</f>
        <v>Wonogiri</v>
      </c>
      <c r="H144" s="3" t="str">
        <f>IFERROR(__xludf.DUMMYFUNCTION("TRIM(INDEX(SPLIT(C144,""-""),2))"),"Gajahmungkur")</f>
        <v>Gajahmungkur</v>
      </c>
      <c r="I144" s="3"/>
      <c r="J144" s="7">
        <v>-7.8168436</v>
      </c>
      <c r="K144" s="7">
        <v>110.9259484</v>
      </c>
    </row>
    <row r="145">
      <c r="A145" s="3">
        <f t="shared" si="1"/>
        <v>144</v>
      </c>
      <c r="B145" s="4" t="s">
        <v>10</v>
      </c>
      <c r="C145" s="5" t="s">
        <v>338</v>
      </c>
      <c r="D145" s="6" t="s">
        <v>339</v>
      </c>
      <c r="E145" s="3"/>
      <c r="F145" s="3" t="str">
        <f>IFERROR(__xludf.DUMMYFUNCTION("SWITCH(
  TRUE,
  REGEXMATCH(B145,""Brain Academy""),""BAC"",
  REGEXMATCH(B145,""English Academy""),""EAC"",
  """"
)&amp;"" ""&amp;IFERROR(TRIM(INDEX(SPLIT(C145,""-""),2)),C145)"),"BAC Veteran")</f>
        <v>BAC Veteran</v>
      </c>
      <c r="G145" s="3" t="str">
        <f>IFERROR(__xludf.DUMMYFUNCTION("TRIM(INDEX(SPLIT(C145,""-""),1))"),"Sukoharjo")</f>
        <v>Sukoharjo</v>
      </c>
      <c r="H145" s="3" t="str">
        <f>IFERROR(__xludf.DUMMYFUNCTION("TRIM(INDEX(SPLIT(C145,""-""),2))"),"Veteran")</f>
        <v>Veteran</v>
      </c>
      <c r="I145" s="3"/>
      <c r="J145" s="7">
        <v>-7.6820167</v>
      </c>
      <c r="K145" s="7">
        <v>110.837661</v>
      </c>
    </row>
    <row r="146">
      <c r="A146" s="3">
        <f t="shared" si="1"/>
        <v>145</v>
      </c>
      <c r="B146" s="4" t="s">
        <v>10</v>
      </c>
      <c r="C146" s="5" t="s">
        <v>340</v>
      </c>
      <c r="D146" s="6" t="s">
        <v>341</v>
      </c>
      <c r="E146" s="3"/>
      <c r="F146" s="3" t="str">
        <f>IFERROR(__xludf.DUMMYFUNCTION("SWITCH(
  TRUE,
  REGEXMATCH(B146,""Brain Academy""),""BAC"",
  REGEXMATCH(B146,""English Academy""),""EAC"",
  """"
)&amp;"" ""&amp;IFERROR(TRIM(INDEX(SPLIT(C146,""-""),2)),C146)"),"BAC Braja Mustika")</f>
        <v>BAC Braja Mustika</v>
      </c>
      <c r="G146" s="3" t="str">
        <f>IFERROR(__xludf.DUMMYFUNCTION("TRIM(INDEX(SPLIT(C146,""-""),1))"),"Bogor")</f>
        <v>Bogor</v>
      </c>
      <c r="H146" s="3" t="str">
        <f>IFERROR(__xludf.DUMMYFUNCTION("TRIM(INDEX(SPLIT(C146,""-""),2))"),"Braja Mustika")</f>
        <v>Braja Mustika</v>
      </c>
      <c r="I146" s="4" t="s">
        <v>342</v>
      </c>
      <c r="J146" s="4">
        <v>-6.5847725</v>
      </c>
      <c r="K146" s="4">
        <v>106.7817409</v>
      </c>
    </row>
    <row r="147">
      <c r="A147" s="3">
        <f t="shared" si="1"/>
        <v>146</v>
      </c>
      <c r="B147" s="4" t="s">
        <v>10</v>
      </c>
      <c r="C147" s="5" t="s">
        <v>343</v>
      </c>
      <c r="D147" s="6" t="s">
        <v>344</v>
      </c>
      <c r="E147" s="3"/>
      <c r="F147" s="3" t="str">
        <f>IFERROR(__xludf.DUMMYFUNCTION("SWITCH(
  TRUE,
  REGEXMATCH(B147,""Brain Academy""),""BAC"",
  REGEXMATCH(B147,""English Academy""),""EAC"",
  """"
)&amp;"" ""&amp;IFERROR(TRIM(INDEX(SPLIT(C147,""-""),2)),C147)"),"BAC Panglima Sudirman")</f>
        <v>BAC Panglima Sudirman</v>
      </c>
      <c r="G147" s="3" t="str">
        <f>IFERROR(__xludf.DUMMYFUNCTION("TRIM(INDEX(SPLIT(C147,""-""),1))"),"Pasuruan")</f>
        <v>Pasuruan</v>
      </c>
      <c r="H147" s="3" t="str">
        <f>IFERROR(__xludf.DUMMYFUNCTION("TRIM(INDEX(SPLIT(C147,""-""),2))"),"Panglima Sudirman")</f>
        <v>Panglima Sudirman</v>
      </c>
      <c r="I147" s="3"/>
      <c r="J147" s="7">
        <v>-7.6542922</v>
      </c>
      <c r="K147" s="7">
        <v>112.8987906</v>
      </c>
    </row>
    <row r="148">
      <c r="A148" s="3">
        <f t="shared" si="1"/>
        <v>147</v>
      </c>
      <c r="B148" s="4" t="s">
        <v>10</v>
      </c>
      <c r="C148" s="5" t="s">
        <v>345</v>
      </c>
      <c r="D148" s="6" t="s">
        <v>346</v>
      </c>
      <c r="E148" s="3"/>
      <c r="F148" s="3" t="str">
        <f>IFERROR(__xludf.DUMMYFUNCTION("SWITCH(
  TRUE,
  REGEXMATCH(B148,""Brain Academy""),""BAC"",
  REGEXMATCH(B148,""English Academy""),""EAC"",
  """"
)&amp;"" ""&amp;IFERROR(TRIM(INDEX(SPLIT(C148,""-""),2)),C148)"),"BAC Dr. Cipto")</f>
        <v>BAC Dr. Cipto</v>
      </c>
      <c r="G148" s="3" t="str">
        <f>IFERROR(__xludf.DUMMYFUNCTION("TRIM(INDEX(SPLIT(C148,""-""),1))"),"Bojonegoro")</f>
        <v>Bojonegoro</v>
      </c>
      <c r="H148" s="3" t="str">
        <f>IFERROR(__xludf.DUMMYFUNCTION("TRIM(INDEX(SPLIT(C148,""-""),2))"),"Dr. Cipto")</f>
        <v>Dr. Cipto</v>
      </c>
      <c r="I148" s="3"/>
      <c r="J148" s="7">
        <v>-7.1572517</v>
      </c>
      <c r="K148" s="7">
        <v>111.8889048</v>
      </c>
    </row>
    <row r="149">
      <c r="A149" s="3">
        <f t="shared" si="1"/>
        <v>148</v>
      </c>
      <c r="B149" s="4" t="s">
        <v>10</v>
      </c>
      <c r="C149" s="5" t="s">
        <v>347</v>
      </c>
      <c r="D149" s="6" t="s">
        <v>348</v>
      </c>
      <c r="E149" s="3"/>
      <c r="F149" s="3" t="str">
        <f>IFERROR(__xludf.DUMMYFUNCTION("SWITCH(
  TRUE,
  REGEXMATCH(B149,""Brain Academy""),""BAC"",
  REGEXMATCH(B149,""English Academy""),""EAC"",
  """"
)&amp;"" ""&amp;IFERROR(TRIM(INDEX(SPLIT(C149,""-""),2)),C149)"),"BAC Sisingamangaraja")</f>
        <v>BAC Sisingamangaraja</v>
      </c>
      <c r="G149" s="3" t="str">
        <f>IFERROR(__xludf.DUMMYFUNCTION("TRIM(INDEX(SPLIT(C149,""-""),1))"),"Medan")</f>
        <v>Medan</v>
      </c>
      <c r="H149" s="3" t="str">
        <f>IFERROR(__xludf.DUMMYFUNCTION("TRIM(INDEX(SPLIT(C149,""-""),2))"),"Sisingamangaraja")</f>
        <v>Sisingamangaraja</v>
      </c>
      <c r="I149" s="3"/>
      <c r="J149" s="7">
        <v>3.5593192</v>
      </c>
      <c r="K149" s="7">
        <v>98.7056035</v>
      </c>
    </row>
    <row r="150">
      <c r="A150" s="3">
        <f t="shared" si="1"/>
        <v>149</v>
      </c>
      <c r="B150" s="4" t="s">
        <v>10</v>
      </c>
      <c r="C150" s="5" t="s">
        <v>349</v>
      </c>
      <c r="D150" s="6" t="s">
        <v>350</v>
      </c>
      <c r="E150" s="3"/>
      <c r="F150" s="3" t="str">
        <f>IFERROR(__xludf.DUMMYFUNCTION("SWITCH(
  TRUE,
  REGEXMATCH(B150,""Brain Academy""),""BAC"",
  REGEXMATCH(B150,""English Academy""),""EAC"",
  """"
)&amp;"" ""&amp;IFERROR(TRIM(INDEX(SPLIT(C150,""-""),2)),C150)"),"BAC Bhayangkara")</f>
        <v>BAC Bhayangkara</v>
      </c>
      <c r="G150" s="3" t="str">
        <f>IFERROR(__xludf.DUMMYFUNCTION("TRIM(INDEX(SPLIT(C150,""-""),1))"),"Ponorogo")</f>
        <v>Ponorogo</v>
      </c>
      <c r="H150" s="3" t="str">
        <f>IFERROR(__xludf.DUMMYFUNCTION("TRIM(INDEX(SPLIT(C150,""-""),2))"),"Bhayangkara")</f>
        <v>Bhayangkara</v>
      </c>
      <c r="I150" s="3"/>
      <c r="J150" s="7">
        <v>-7.869046199999999</v>
      </c>
      <c r="K150" s="7">
        <v>111.4671484</v>
      </c>
    </row>
    <row r="151">
      <c r="A151" s="3">
        <f t="shared" si="1"/>
        <v>150</v>
      </c>
      <c r="B151" s="4" t="s">
        <v>10</v>
      </c>
      <c r="C151" s="5" t="s">
        <v>351</v>
      </c>
      <c r="D151" s="6" t="s">
        <v>352</v>
      </c>
      <c r="E151" s="3"/>
      <c r="F151" s="3" t="str">
        <f>IFERROR(__xludf.DUMMYFUNCTION("SWITCH(
  TRUE,
  REGEXMATCH(B151,""Brain Academy""),""BAC"",
  REGEXMATCH(B151,""English Academy""),""EAC"",
  """"
)&amp;"" ""&amp;IFERROR(TRIM(INDEX(SPLIT(C151,""-""),2)),C151)"),"BAC Rungkut")</f>
        <v>BAC Rungkut</v>
      </c>
      <c r="G151" s="3" t="str">
        <f>IFERROR(__xludf.DUMMYFUNCTION("TRIM(INDEX(SPLIT(C151,""-""),1))"),"Surabaya")</f>
        <v>Surabaya</v>
      </c>
      <c r="H151" s="3" t="str">
        <f>IFERROR(__xludf.DUMMYFUNCTION("TRIM(INDEX(SPLIT(C151,""-""),2))"),"Rungkut")</f>
        <v>Rungkut</v>
      </c>
      <c r="I151" s="4" t="s">
        <v>353</v>
      </c>
      <c r="J151" s="4">
        <v>-7.327621199999999</v>
      </c>
      <c r="K151" s="4">
        <v>112.7759219</v>
      </c>
    </row>
    <row r="152">
      <c r="A152" s="3">
        <f t="shared" si="1"/>
        <v>151</v>
      </c>
      <c r="B152" s="4" t="s">
        <v>10</v>
      </c>
      <c r="C152" s="5" t="s">
        <v>354</v>
      </c>
      <c r="D152" s="6" t="s">
        <v>355</v>
      </c>
      <c r="E152" s="3"/>
      <c r="F152" s="3" t="str">
        <f>IFERROR(__xludf.DUMMYFUNCTION("SWITCH(
  TRUE,
  REGEXMATCH(B152,""Brain Academy""),""BAC"",
  REGEXMATCH(B152,""English Academy""),""EAC"",
  """"
)&amp;"" ""&amp;IFERROR(TRIM(INDEX(SPLIT(C152,""-""),2)),C152)"),"BAC Jagakarsa")</f>
        <v>BAC Jagakarsa</v>
      </c>
      <c r="G152" s="3" t="str">
        <f>IFERROR(__xludf.DUMMYFUNCTION("TRIM(INDEX(SPLIT(C152,""-""),1))"),"Jakarta Selatan")</f>
        <v>Jakarta Selatan</v>
      </c>
      <c r="H152" s="3" t="str">
        <f>IFERROR(__xludf.DUMMYFUNCTION("TRIM(INDEX(SPLIT(C152,""-""),2))"),"Jagakarsa")</f>
        <v>Jagakarsa</v>
      </c>
      <c r="I152" s="4" t="s">
        <v>356</v>
      </c>
      <c r="J152" s="4">
        <v>-6.3510866</v>
      </c>
      <c r="K152" s="4">
        <v>106.8015886</v>
      </c>
    </row>
    <row r="153">
      <c r="A153" s="3">
        <f t="shared" si="1"/>
        <v>152</v>
      </c>
      <c r="B153" s="4" t="s">
        <v>10</v>
      </c>
      <c r="C153" s="5" t="s">
        <v>357</v>
      </c>
      <c r="D153" s="6" t="s">
        <v>358</v>
      </c>
      <c r="E153" s="3"/>
      <c r="F153" s="3" t="str">
        <f>IFERROR(__xludf.DUMMYFUNCTION("SWITCH(
  TRUE,
  REGEXMATCH(B153,""Brain Academy""),""BAC"",
  REGEXMATCH(B153,""English Academy""),""EAC"",
  """"
)&amp;"" ""&amp;IFERROR(TRIM(INDEX(SPLIT(C153,""-""),2)),C153)"),"BAC Selebar")</f>
        <v>BAC Selebar</v>
      </c>
      <c r="G153" s="3" t="str">
        <f>IFERROR(__xludf.DUMMYFUNCTION("TRIM(INDEX(SPLIT(C153,""-""),1))"),"Bengkulu")</f>
        <v>Bengkulu</v>
      </c>
      <c r="H153" s="3" t="str">
        <f>IFERROR(__xludf.DUMMYFUNCTION("TRIM(INDEX(SPLIT(C153,""-""),2))"),"Selebar")</f>
        <v>Selebar</v>
      </c>
      <c r="I153" s="3"/>
      <c r="J153" s="7">
        <v>-3.8439658</v>
      </c>
      <c r="K153" s="7">
        <v>102.3183951</v>
      </c>
    </row>
    <row r="154">
      <c r="A154" s="3">
        <f t="shared" si="1"/>
        <v>153</v>
      </c>
      <c r="B154" s="4" t="s">
        <v>10</v>
      </c>
      <c r="C154" s="5" t="s">
        <v>359</v>
      </c>
      <c r="D154" s="6" t="s">
        <v>360</v>
      </c>
      <c r="E154" s="3"/>
      <c r="F154" s="3" t="str">
        <f>IFERROR(__xludf.DUMMYFUNCTION("SWITCH(
  TRUE,
  REGEXMATCH(B154,""Brain Academy""),""BAC"",
  REGEXMATCH(B154,""English Academy""),""EAC"",
  """"
)&amp;"" ""&amp;IFERROR(TRIM(INDEX(SPLIT(C154,""-""),2)),C154)"),"BAC Cibiru")</f>
        <v>BAC Cibiru</v>
      </c>
      <c r="G154" s="3" t="str">
        <f>IFERROR(__xludf.DUMMYFUNCTION("TRIM(INDEX(SPLIT(C154,""-""),1))"),"Bandung")</f>
        <v>Bandung</v>
      </c>
      <c r="H154" s="3" t="str">
        <f>IFERROR(__xludf.DUMMYFUNCTION("TRIM(INDEX(SPLIT(C154,""-""),2))"),"Cibiru")</f>
        <v>Cibiru</v>
      </c>
      <c r="I154" s="3"/>
      <c r="J154" s="7">
        <v>-6.936197099999999</v>
      </c>
      <c r="K154" s="7">
        <v>107.728333</v>
      </c>
    </row>
    <row r="155">
      <c r="A155" s="3">
        <f t="shared" si="1"/>
        <v>154</v>
      </c>
      <c r="B155" s="4" t="s">
        <v>10</v>
      </c>
      <c r="C155" s="5" t="s">
        <v>361</v>
      </c>
      <c r="D155" s="6" t="s">
        <v>362</v>
      </c>
      <c r="E155" s="3"/>
      <c r="F155" s="3" t="str">
        <f>IFERROR(__xludf.DUMMYFUNCTION("SWITCH(
  TRUE,
  REGEXMATCH(B155,""Brain Academy""),""BAC"",
  REGEXMATCH(B155,""English Academy""),""EAC"",
  """"
)&amp;"" ""&amp;IFERROR(TRIM(INDEX(SPLIT(C155,""-""),2)),C155)"),"BAC Kelapa Dua")</f>
        <v>BAC Kelapa Dua</v>
      </c>
      <c r="G155" s="3" t="str">
        <f>IFERROR(__xludf.DUMMYFUNCTION("TRIM(INDEX(SPLIT(C155,""-""),1))"),"Depok")</f>
        <v>Depok</v>
      </c>
      <c r="H155" s="3" t="str">
        <f>IFERROR(__xludf.DUMMYFUNCTION("TRIM(INDEX(SPLIT(C155,""-""),2))"),"Kelapa Dua")</f>
        <v>Kelapa Dua</v>
      </c>
      <c r="I155" s="3"/>
      <c r="J155" s="7">
        <v>-6.3550495</v>
      </c>
      <c r="K155" s="7">
        <v>106.8476866</v>
      </c>
    </row>
    <row r="156">
      <c r="A156" s="3">
        <f t="shared" si="1"/>
        <v>155</v>
      </c>
      <c r="B156" s="4" t="s">
        <v>10</v>
      </c>
      <c r="C156" s="5" t="s">
        <v>363</v>
      </c>
      <c r="D156" s="6" t="s">
        <v>364</v>
      </c>
      <c r="E156" s="3"/>
      <c r="F156" s="3" t="str">
        <f>IFERROR(__xludf.DUMMYFUNCTION("SWITCH(
  TRUE,
  REGEXMATCH(B156,""Brain Academy""),""BAC"",
  REGEXMATCH(B156,""English Academy""),""EAC"",
  """"
)&amp;"" ""&amp;IFERROR(TRIM(INDEX(SPLIT(C156,""-""),2)),C156)"),"BAC Koja")</f>
        <v>BAC Koja</v>
      </c>
      <c r="G156" s="3" t="str">
        <f>IFERROR(__xludf.DUMMYFUNCTION("TRIM(INDEX(SPLIT(C156,""-""),1))"),"Jakarta Utara")</f>
        <v>Jakarta Utara</v>
      </c>
      <c r="H156" s="3" t="str">
        <f>IFERROR(__xludf.DUMMYFUNCTION("TRIM(INDEX(SPLIT(C156,""-""),2))"),"Koja")</f>
        <v>Koja</v>
      </c>
      <c r="I156" s="3"/>
      <c r="J156" s="7">
        <v>-6.121439</v>
      </c>
      <c r="K156" s="7">
        <v>106.916169</v>
      </c>
    </row>
    <row r="157">
      <c r="A157" s="3">
        <f t="shared" si="1"/>
        <v>156</v>
      </c>
      <c r="B157" s="4" t="s">
        <v>10</v>
      </c>
      <c r="C157" s="5" t="s">
        <v>365</v>
      </c>
      <c r="D157" s="6" t="s">
        <v>366</v>
      </c>
      <c r="E157" s="3"/>
      <c r="F157" s="3" t="str">
        <f>IFERROR(__xludf.DUMMYFUNCTION("SWITCH(
  TRUE,
  REGEXMATCH(B157,""Brain Academy""),""BAC"",
  REGEXMATCH(B157,""English Academy""),""EAC"",
  """"
)&amp;"" ""&amp;IFERROR(TRIM(INDEX(SPLIT(C157,""-""),2)),C157)"),"BAC Ciputat Timur")</f>
        <v>BAC Ciputat Timur</v>
      </c>
      <c r="G157" s="3" t="str">
        <f>IFERROR(__xludf.DUMMYFUNCTION("TRIM(INDEX(SPLIT(C157,""-""),1))"),"Tangerang Selatan")</f>
        <v>Tangerang Selatan</v>
      </c>
      <c r="H157" s="3" t="str">
        <f>IFERROR(__xludf.DUMMYFUNCTION("TRIM(INDEX(SPLIT(C157,""-""),2))"),"Ciputat Timur")</f>
        <v>Ciputat Timur</v>
      </c>
      <c r="I157" s="3"/>
      <c r="J157" s="7">
        <v>-6.2955476</v>
      </c>
      <c r="K157" s="7">
        <v>106.765134</v>
      </c>
    </row>
    <row r="158">
      <c r="A158" s="3">
        <f t="shared" si="1"/>
        <v>157</v>
      </c>
      <c r="B158" s="4" t="s">
        <v>10</v>
      </c>
      <c r="C158" s="5" t="s">
        <v>367</v>
      </c>
      <c r="D158" s="6" t="s">
        <v>368</v>
      </c>
      <c r="E158" s="3"/>
      <c r="F158" s="3" t="str">
        <f>IFERROR(__xludf.DUMMYFUNCTION("SWITCH(
  TRUE,
  REGEXMATCH(B158,""Brain Academy""),""BAC"",
  REGEXMATCH(B158,""English Academy""),""EAC"",
  """"
)&amp;"" ""&amp;IFERROR(TRIM(INDEX(SPLIT(C158,""-""),2)),C158)"),"BAC Lalabata")</f>
        <v>BAC Lalabata</v>
      </c>
      <c r="G158" s="3" t="str">
        <f>IFERROR(__xludf.DUMMYFUNCTION("TRIM(INDEX(SPLIT(C158,""-""),1))"),"Soppeng")</f>
        <v>Soppeng</v>
      </c>
      <c r="H158" s="3" t="str">
        <f>IFERROR(__xludf.DUMMYFUNCTION("TRIM(INDEX(SPLIT(C158,""-""),2))"),"Lalabata")</f>
        <v>Lalabata</v>
      </c>
      <c r="I158" s="3"/>
      <c r="J158" s="7">
        <v>-4.353907299999999</v>
      </c>
      <c r="K158" s="7">
        <v>119.8876093</v>
      </c>
    </row>
    <row r="159">
      <c r="A159" s="3">
        <f t="shared" si="1"/>
        <v>158</v>
      </c>
      <c r="B159" s="4" t="s">
        <v>10</v>
      </c>
      <c r="C159" s="5" t="s">
        <v>369</v>
      </c>
      <c r="D159" s="6" t="s">
        <v>370</v>
      </c>
      <c r="E159" s="3"/>
      <c r="F159" s="3" t="str">
        <f>IFERROR(__xludf.DUMMYFUNCTION("SWITCH(
  TRUE,
  REGEXMATCH(B159,""Brain Academy""),""BAC"",
  REGEXMATCH(B159,""English Academy""),""EAC"",
  """"
)&amp;"" ""&amp;IFERROR(TRIM(INDEX(SPLIT(C159,""-""),2)),C159)"),"BAC Ungaran")</f>
        <v>BAC Ungaran</v>
      </c>
      <c r="G159" s="3" t="str">
        <f>IFERROR(__xludf.DUMMYFUNCTION("TRIM(INDEX(SPLIT(C159,""-""),1))"),"Semarang")</f>
        <v>Semarang</v>
      </c>
      <c r="H159" s="3" t="str">
        <f>IFERROR(__xludf.DUMMYFUNCTION("TRIM(INDEX(SPLIT(C159,""-""),2))"),"Ungaran")</f>
        <v>Ungaran</v>
      </c>
      <c r="I159" s="3"/>
      <c r="J159" s="7">
        <v>-7.1319199</v>
      </c>
      <c r="K159" s="7">
        <v>110.4041309</v>
      </c>
    </row>
    <row r="160">
      <c r="A160" s="3">
        <f t="shared" si="1"/>
        <v>159</v>
      </c>
      <c r="B160" s="4" t="s">
        <v>10</v>
      </c>
      <c r="C160" s="5" t="s">
        <v>371</v>
      </c>
      <c r="D160" s="6" t="s">
        <v>372</v>
      </c>
      <c r="E160" s="3"/>
      <c r="F160" s="3" t="str">
        <f>IFERROR(__xludf.DUMMYFUNCTION("SWITCH(
  TRUE,
  REGEXMATCH(B160,""Brain Academy""),""BAC"",
  REGEXMATCH(B160,""English Academy""),""EAC"",
  """"
)&amp;"" ""&amp;IFERROR(TRIM(INDEX(SPLIT(C160,""-""),2)),C160)"),"BAC Simpang Benteng")</f>
        <v>BAC Simpang Benteng</v>
      </c>
      <c r="G160" s="3" t="str">
        <f>IFERROR(__xludf.DUMMYFUNCTION("TRIM(INDEX(SPLIT(C160,""-""),1))"),"Payakumbuh")</f>
        <v>Payakumbuh</v>
      </c>
      <c r="H160" s="3" t="str">
        <f>IFERROR(__xludf.DUMMYFUNCTION("TRIM(INDEX(SPLIT(C160,""-""),2))"),"Simpang Benteng")</f>
        <v>Simpang Benteng</v>
      </c>
      <c r="I160" s="3"/>
      <c r="J160" s="7">
        <v>-0.2228363</v>
      </c>
      <c r="K160" s="7">
        <v>100.6391179</v>
      </c>
    </row>
    <row r="161">
      <c r="A161" s="3">
        <f t="shared" si="1"/>
        <v>160</v>
      </c>
      <c r="B161" s="4" t="s">
        <v>10</v>
      </c>
      <c r="C161" s="5" t="s">
        <v>373</v>
      </c>
      <c r="D161" s="6" t="s">
        <v>374</v>
      </c>
      <c r="E161" s="3"/>
      <c r="F161" s="3" t="str">
        <f>IFERROR(__xludf.DUMMYFUNCTION("SWITCH(
  TRUE,
  REGEXMATCH(B161,""Brain Academy""),""BAC"",
  REGEXMATCH(B161,""English Academy""),""EAC"",
  """"
)&amp;"" ""&amp;IFERROR(TRIM(INDEX(SPLIT(C161,""-""),2)),C161)"),"BAC Merdeka")</f>
        <v>BAC Merdeka</v>
      </c>
      <c r="G161" s="3" t="str">
        <f>IFERROR(__xludf.DUMMYFUNCTION("TRIM(INDEX(SPLIT(C161,""-""),1))"),"Lhokseumawe")</f>
        <v>Lhokseumawe</v>
      </c>
      <c r="H161" s="3" t="str">
        <f>IFERROR(__xludf.DUMMYFUNCTION("TRIM(INDEX(SPLIT(C161,""-""),2))"),"Merdeka")</f>
        <v>Merdeka</v>
      </c>
      <c r="I161" s="3"/>
      <c r="J161" s="7">
        <v>5.1800843</v>
      </c>
      <c r="K161" s="7">
        <v>97.1452313</v>
      </c>
    </row>
    <row r="162">
      <c r="A162" s="3">
        <f t="shared" si="1"/>
        <v>161</v>
      </c>
      <c r="B162" s="4" t="s">
        <v>10</v>
      </c>
      <c r="C162" s="5" t="s">
        <v>375</v>
      </c>
      <c r="D162" s="6" t="s">
        <v>376</v>
      </c>
      <c r="E162" s="3"/>
      <c r="F162" s="3" t="str">
        <f>IFERROR(__xludf.DUMMYFUNCTION("SWITCH(
  TRUE,
  REGEXMATCH(B162,""Brain Academy""),""BAC"",
  REGEXMATCH(B162,""English Academy""),""EAC"",
  """"
)&amp;"" ""&amp;IFERROR(TRIM(INDEX(SPLIT(C162,""-""),2)),C162)"),"BAC Ir. Soekarno")</f>
        <v>BAC Ir. Soekarno</v>
      </c>
      <c r="G162" s="3" t="str">
        <f>IFERROR(__xludf.DUMMYFUNCTION("TRIM(INDEX(SPLIT(C162,""-""),1))"),"Tabanan")</f>
        <v>Tabanan</v>
      </c>
      <c r="H162" s="3" t="str">
        <f>IFERROR(__xludf.DUMMYFUNCTION("TRIM(INDEX(SPLIT(C162,""-""),2))"),"Ir. Soekarno")</f>
        <v>Ir. Soekarno</v>
      </c>
      <c r="I162" s="3"/>
      <c r="J162" s="7">
        <v>-8.5502445</v>
      </c>
      <c r="K162" s="7">
        <v>115.1250432</v>
      </c>
    </row>
    <row r="163">
      <c r="A163" s="3">
        <f t="shared" si="1"/>
        <v>162</v>
      </c>
      <c r="B163" s="4" t="s">
        <v>10</v>
      </c>
      <c r="C163" s="5" t="s">
        <v>377</v>
      </c>
      <c r="D163" s="6" t="s">
        <v>378</v>
      </c>
      <c r="E163" s="3"/>
      <c r="F163" s="3" t="str">
        <f>IFERROR(__xludf.DUMMYFUNCTION("SWITCH(
  TRUE,
  REGEXMATCH(B163,""Brain Academy""),""BAC"",
  REGEXMATCH(B163,""English Academy""),""EAC"",
  """"
)&amp;"" ""&amp;IFERROR(TRIM(INDEX(SPLIT(C163,""-""),2)),C163)"),"BAC Ciledug")</f>
        <v>BAC Ciledug</v>
      </c>
      <c r="G163" s="3" t="str">
        <f>IFERROR(__xludf.DUMMYFUNCTION("TRIM(INDEX(SPLIT(C163,""-""),1))"),"Tangerang")</f>
        <v>Tangerang</v>
      </c>
      <c r="H163" s="3" t="str">
        <f>IFERROR(__xludf.DUMMYFUNCTION("TRIM(INDEX(SPLIT(C163,""-""),2))"),"Ciledug")</f>
        <v>Ciledug</v>
      </c>
      <c r="I163" s="3"/>
      <c r="J163" s="7">
        <v>-6.219864599999999</v>
      </c>
      <c r="K163" s="7">
        <v>106.7065165</v>
      </c>
    </row>
    <row r="164">
      <c r="A164" s="3">
        <f t="shared" si="1"/>
        <v>163</v>
      </c>
      <c r="B164" s="4" t="s">
        <v>10</v>
      </c>
      <c r="C164" s="5" t="s">
        <v>379</v>
      </c>
      <c r="D164" s="6" t="s">
        <v>380</v>
      </c>
      <c r="E164" s="3"/>
      <c r="F164" s="3" t="str">
        <f>IFERROR(__xludf.DUMMYFUNCTION("SWITCH(
  TRUE,
  REGEXMATCH(B164,""Brain Academy""),""BAC"",
  REGEXMATCH(B164,""English Academy""),""EAC"",
  """"
)&amp;"" ""&amp;IFERROR(TRIM(INDEX(SPLIT(C164,""-""),2)),C164)"),"BAC Gading Serpong")</f>
        <v>BAC Gading Serpong</v>
      </c>
      <c r="G164" s="3" t="str">
        <f>IFERROR(__xludf.DUMMYFUNCTION("TRIM(INDEX(SPLIT(C164,""-""),1))"),"Tangerang")</f>
        <v>Tangerang</v>
      </c>
      <c r="H164" s="3" t="str">
        <f>IFERROR(__xludf.DUMMYFUNCTION("TRIM(INDEX(SPLIT(C164,""-""),2))"),"Gading Serpong")</f>
        <v>Gading Serpong</v>
      </c>
      <c r="I164" s="4" t="s">
        <v>381</v>
      </c>
      <c r="J164" s="4">
        <v>-6.2383478</v>
      </c>
      <c r="K164" s="4">
        <v>106.630426</v>
      </c>
    </row>
    <row r="165">
      <c r="A165" s="3">
        <f t="shared" si="1"/>
        <v>164</v>
      </c>
      <c r="B165" s="4" t="s">
        <v>10</v>
      </c>
      <c r="C165" s="5" t="s">
        <v>382</v>
      </c>
      <c r="D165" s="6" t="s">
        <v>383</v>
      </c>
      <c r="E165" s="3"/>
      <c r="F165" s="3" t="str">
        <f>IFERROR(__xludf.DUMMYFUNCTION("SWITCH(
  TRUE,
  REGEXMATCH(B165,""Brain Academy""),""BAC"",
  REGEXMATCH(B165,""English Academy""),""EAC"",
  """"
)&amp;"" ""&amp;IFERROR(TRIM(INDEX(SPLIT(C165,""-""),2)),C165)"),"BAC Samudra")</f>
        <v>BAC Samudra</v>
      </c>
      <c r="G165" s="3" t="str">
        <f>IFERROR(__xludf.DUMMYFUNCTION("TRIM(INDEX(SPLIT(C165,""-""),1))"),"Magetan")</f>
        <v>Magetan</v>
      </c>
      <c r="H165" s="3" t="str">
        <f>IFERROR(__xludf.DUMMYFUNCTION("TRIM(INDEX(SPLIT(C165,""-""),2))"),"Samudra")</f>
        <v>Samudra</v>
      </c>
      <c r="I165" s="3"/>
      <c r="J165" s="7">
        <v>-7.6593171</v>
      </c>
      <c r="K165" s="7">
        <v>111.334617</v>
      </c>
    </row>
    <row r="166">
      <c r="A166" s="3">
        <f t="shared" si="1"/>
        <v>165</v>
      </c>
      <c r="B166" s="4" t="s">
        <v>10</v>
      </c>
      <c r="C166" s="5" t="s">
        <v>384</v>
      </c>
      <c r="D166" s="6" t="s">
        <v>385</v>
      </c>
      <c r="E166" s="3"/>
      <c r="F166" s="3" t="str">
        <f>IFERROR(__xludf.DUMMYFUNCTION("SWITCH(
  TRUE,
  REGEXMATCH(B166,""Brain Academy""),""BAC"",
  REGEXMATCH(B166,""English Academy""),""EAC"",
  """"
)&amp;"" ""&amp;IFERROR(TRIM(INDEX(SPLIT(C166,""-""),2)),C166)"),"BAC Sudirman")</f>
        <v>BAC Sudirman</v>
      </c>
      <c r="G166" s="3" t="str">
        <f>IFERROR(__xludf.DUMMYFUNCTION("TRIM(INDEX(SPLIT(C166,""-""),1))"),"Metro")</f>
        <v>Metro</v>
      </c>
      <c r="H166" s="3" t="str">
        <f>IFERROR(__xludf.DUMMYFUNCTION("TRIM(INDEX(SPLIT(C166,""-""),2))"),"Sudirman")</f>
        <v>Sudirman</v>
      </c>
      <c r="I166" s="3"/>
      <c r="J166" s="7">
        <v>-5.1141878</v>
      </c>
      <c r="K166" s="7">
        <v>105.3024376</v>
      </c>
    </row>
    <row r="167">
      <c r="A167" s="3">
        <f t="shared" si="1"/>
        <v>166</v>
      </c>
      <c r="B167" s="4" t="s">
        <v>10</v>
      </c>
      <c r="C167" s="5" t="s">
        <v>386</v>
      </c>
      <c r="D167" s="6" t="s">
        <v>387</v>
      </c>
      <c r="E167" s="3"/>
      <c r="F167" s="3" t="str">
        <f>IFERROR(__xludf.DUMMYFUNCTION("SWITCH(
  TRUE,
  REGEXMATCH(B167,""Brain Academy""),""BAC"",
  REGEXMATCH(B167,""English Academy""),""EAC"",
  """"
)&amp;"" ""&amp;IFERROR(TRIM(INDEX(SPLIT(C167,""-""),2)),C167)"),"BAC Sudirman")</f>
        <v>BAC Sudirman</v>
      </c>
      <c r="G167" s="3" t="str">
        <f>IFERROR(__xludf.DUMMYFUNCTION("TRIM(INDEX(SPLIT(C167,""-""),1))"),"Pare")</f>
        <v>Pare</v>
      </c>
      <c r="H167" s="3" t="str">
        <f>IFERROR(__xludf.DUMMYFUNCTION("TRIM(INDEX(SPLIT(C167,""-""),2))"),"Sudirman")</f>
        <v>Sudirman</v>
      </c>
      <c r="I167" s="3"/>
      <c r="J167" s="7">
        <v>-7.764823000000001</v>
      </c>
      <c r="K167" s="7">
        <v>112.186666</v>
      </c>
    </row>
    <row r="168">
      <c r="A168" s="3">
        <f t="shared" si="1"/>
        <v>167</v>
      </c>
      <c r="B168" s="4" t="s">
        <v>10</v>
      </c>
      <c r="C168" s="5" t="s">
        <v>388</v>
      </c>
      <c r="D168" s="6" t="s">
        <v>389</v>
      </c>
      <c r="E168" s="3"/>
      <c r="F168" s="3" t="str">
        <f>IFERROR(__xludf.DUMMYFUNCTION("SWITCH(
  TRUE,
  REGEXMATCH(B168,""Brain Academy""),""BAC"",
  REGEXMATCH(B168,""English Academy""),""EAC"",
  """"
)&amp;"" ""&amp;IFERROR(TRIM(INDEX(SPLIT(C168,""-""),2)),C168)"),"BAC Mustika Jaya")</f>
        <v>BAC Mustika Jaya</v>
      </c>
      <c r="G168" s="3" t="str">
        <f>IFERROR(__xludf.DUMMYFUNCTION("TRIM(INDEX(SPLIT(C168,""-""),1))"),"Bekasi")</f>
        <v>Bekasi</v>
      </c>
      <c r="H168" s="3" t="str">
        <f>IFERROR(__xludf.DUMMYFUNCTION("TRIM(INDEX(SPLIT(C168,""-""),2))"),"Mustika Jaya")</f>
        <v>Mustika Jaya</v>
      </c>
      <c r="I168" s="3"/>
      <c r="J168" s="7">
        <v>-6.2869243</v>
      </c>
      <c r="K168" s="7">
        <v>107.0318643</v>
      </c>
    </row>
    <row r="169">
      <c r="A169" s="3">
        <f t="shared" si="1"/>
        <v>168</v>
      </c>
      <c r="B169" s="4" t="s">
        <v>10</v>
      </c>
      <c r="C169" s="5" t="s">
        <v>390</v>
      </c>
      <c r="D169" s="6" t="s">
        <v>391</v>
      </c>
      <c r="E169" s="3"/>
      <c r="F169" s="3" t="str">
        <f>IFERROR(__xludf.DUMMYFUNCTION("SWITCH(
  TRUE,
  REGEXMATCH(B169,""Brain Academy""),""BAC"",
  REGEXMATCH(B169,""English Academy""),""EAC"",
  """"
)&amp;"" ""&amp;IFERROR(TRIM(INDEX(SPLIT(C169,""-""),2)),C169)"),"BAC Jatinegara")</f>
        <v>BAC Jatinegara</v>
      </c>
      <c r="G169" s="3" t="str">
        <f>IFERROR(__xludf.DUMMYFUNCTION("TRIM(INDEX(SPLIT(C169,""-""),1))"),"Jakarta Timur")</f>
        <v>Jakarta Timur</v>
      </c>
      <c r="H169" s="3" t="str">
        <f>IFERROR(__xludf.DUMMYFUNCTION("TRIM(INDEX(SPLIT(C169,""-""),2))"),"Jatinegara")</f>
        <v>Jatinegara</v>
      </c>
      <c r="I169" s="3"/>
      <c r="J169" s="7">
        <v>-6.2126204</v>
      </c>
      <c r="K169" s="7">
        <v>106.9434084</v>
      </c>
    </row>
    <row r="170">
      <c r="A170" s="3">
        <f t="shared" si="1"/>
        <v>169</v>
      </c>
      <c r="B170" s="4" t="s">
        <v>10</v>
      </c>
      <c r="C170" s="5" t="s">
        <v>392</v>
      </c>
      <c r="D170" s="6" t="s">
        <v>393</v>
      </c>
      <c r="E170" s="3"/>
      <c r="F170" s="3" t="str">
        <f>IFERROR(__xludf.DUMMYFUNCTION("SWITCH(
  TRUE,
  REGEXMATCH(B170,""Brain Academy""),""BAC"",
  REGEXMATCH(B170,""English Academy""),""EAC"",
  """"
)&amp;"" ""&amp;IFERROR(TRIM(INDEX(SPLIT(C170,""-""),2)),C170)"),"BAC Baranangsiang")</f>
        <v>BAC Baranangsiang</v>
      </c>
      <c r="G170" s="3" t="str">
        <f>IFERROR(__xludf.DUMMYFUNCTION("TRIM(INDEX(SPLIT(C170,""-""),1))"),"Bogor")</f>
        <v>Bogor</v>
      </c>
      <c r="H170" s="3" t="str">
        <f>IFERROR(__xludf.DUMMYFUNCTION("TRIM(INDEX(SPLIT(C170,""-""),2))"),"Baranangsiang")</f>
        <v>Baranangsiang</v>
      </c>
      <c r="I170" s="3"/>
      <c r="J170" s="7">
        <v>-6.6136142</v>
      </c>
      <c r="K170" s="7">
        <v>106.8131871</v>
      </c>
    </row>
    <row r="171">
      <c r="A171" s="3">
        <f t="shared" si="1"/>
        <v>170</v>
      </c>
      <c r="B171" s="4" t="s">
        <v>10</v>
      </c>
      <c r="C171" s="5" t="s">
        <v>394</v>
      </c>
      <c r="D171" s="6" t="s">
        <v>395</v>
      </c>
      <c r="E171" s="3"/>
      <c r="F171" s="3" t="str">
        <f>IFERROR(__xludf.DUMMYFUNCTION("SWITCH(
  TRUE,
  REGEXMATCH(B171,""Brain Academy""),""BAC"",
  REGEXMATCH(B171,""English Academy""),""EAC"",
  """"
)&amp;"" ""&amp;IFERROR(TRIM(INDEX(SPLIT(C171,""-""),2)),C171)"),"BAC Cikaret")</f>
        <v>BAC Cikaret</v>
      </c>
      <c r="G171" s="3" t="str">
        <f>IFERROR(__xludf.DUMMYFUNCTION("TRIM(INDEX(SPLIT(C171,""-""),1))"),"Cibinong")</f>
        <v>Cibinong</v>
      </c>
      <c r="H171" s="3" t="str">
        <f>IFERROR(__xludf.DUMMYFUNCTION("TRIM(INDEX(SPLIT(C171,""-""),2))"),"Cikaret")</f>
        <v>Cikaret</v>
      </c>
      <c r="I171" s="3"/>
      <c r="J171" s="7">
        <v>-6.471519300000001</v>
      </c>
      <c r="K171" s="7">
        <v>106.8214794</v>
      </c>
    </row>
    <row r="172">
      <c r="A172" s="3">
        <f t="shared" si="1"/>
        <v>171</v>
      </c>
      <c r="B172" s="4" t="s">
        <v>10</v>
      </c>
      <c r="C172" s="5" t="s">
        <v>396</v>
      </c>
      <c r="D172" s="6" t="s">
        <v>397</v>
      </c>
      <c r="E172" s="3"/>
      <c r="F172" s="3" t="str">
        <f>IFERROR(__xludf.DUMMYFUNCTION("SWITCH(
  TRUE,
  REGEXMATCH(B172,""Brain Academy""),""BAC"",
  REGEXMATCH(B172,""English Academy""),""EAC"",
  """"
)&amp;"" ""&amp;IFERROR(TRIM(INDEX(SPLIT(C172,""-""),2)),C172)"),"BAC Diponegoro")</f>
        <v>BAC Diponegoro</v>
      </c>
      <c r="G172" s="3" t="str">
        <f>IFERROR(__xludf.DUMMYFUNCTION("TRIM(INDEX(SPLIT(C172,""-""),1))"),"Pekalongan")</f>
        <v>Pekalongan</v>
      </c>
      <c r="H172" s="3" t="str">
        <f>IFERROR(__xludf.DUMMYFUNCTION("TRIM(INDEX(SPLIT(C172,""-""),2))"),"Diponegoro")</f>
        <v>Diponegoro</v>
      </c>
      <c r="I172" s="3"/>
      <c r="J172" s="7">
        <v>-6.8841113</v>
      </c>
      <c r="K172" s="7">
        <v>109.6704001</v>
      </c>
    </row>
    <row r="173">
      <c r="A173" s="3">
        <f t="shared" si="1"/>
        <v>172</v>
      </c>
      <c r="B173" s="4" t="s">
        <v>10</v>
      </c>
      <c r="C173" s="5" t="s">
        <v>398</v>
      </c>
      <c r="D173" s="6" t="s">
        <v>399</v>
      </c>
      <c r="E173" s="3"/>
      <c r="F173" s="3" t="str">
        <f>IFERROR(__xludf.DUMMYFUNCTION("SWITCH(
  TRUE,
  REGEXMATCH(B173,""Brain Academy""),""BAC"",
  REGEXMATCH(B173,""English Academy""),""EAC"",
  """"
)&amp;"" ""&amp;IFERROR(TRIM(INDEX(SPLIT(C173,""-""),2)),C173)"),"BAC Gayungsari")</f>
        <v>BAC Gayungsari</v>
      </c>
      <c r="G173" s="3" t="str">
        <f>IFERROR(__xludf.DUMMYFUNCTION("TRIM(INDEX(SPLIT(C173,""-""),1))"),"Surabaya")</f>
        <v>Surabaya</v>
      </c>
      <c r="H173" s="3" t="str">
        <f>IFERROR(__xludf.DUMMYFUNCTION("TRIM(INDEX(SPLIT(C173,""-""),2))"),"Gayungsari")</f>
        <v>Gayungsari</v>
      </c>
      <c r="I173" s="3"/>
      <c r="J173" s="7">
        <v>-7.3336217</v>
      </c>
      <c r="K173" s="7">
        <v>112.7194973</v>
      </c>
    </row>
    <row r="174">
      <c r="A174" s="3">
        <f t="shared" si="1"/>
        <v>173</v>
      </c>
      <c r="B174" s="4" t="s">
        <v>10</v>
      </c>
      <c r="C174" s="5" t="s">
        <v>400</v>
      </c>
      <c r="D174" s="6" t="s">
        <v>401</v>
      </c>
      <c r="E174" s="3"/>
      <c r="F174" s="3" t="str">
        <f>IFERROR(__xludf.DUMMYFUNCTION("SWITCH(
  TRUE,
  REGEXMATCH(B174,""Brain Academy""),""BAC"",
  REGEXMATCH(B174,""English Academy""),""EAC"",
  """"
)&amp;"" ""&amp;IFERROR(TRIM(INDEX(SPLIT(C174,""-""),2)),C174)"),"BAC Sudirman")</f>
        <v>BAC Sudirman</v>
      </c>
      <c r="G174" s="3" t="str">
        <f>IFERROR(__xludf.DUMMYFUNCTION("TRIM(INDEX(SPLIT(C174,""-""),1))"),"Sukabumi")</f>
        <v>Sukabumi</v>
      </c>
      <c r="H174" s="3" t="str">
        <f>IFERROR(__xludf.DUMMYFUNCTION("TRIM(INDEX(SPLIT(C174,""-""),2))"),"Sudirman")</f>
        <v>Sudirman</v>
      </c>
      <c r="I174" s="3"/>
      <c r="J174" s="7">
        <v>-6.9201953</v>
      </c>
      <c r="K174" s="7">
        <v>106.9219007</v>
      </c>
    </row>
    <row r="175">
      <c r="A175" s="3">
        <f t="shared" si="1"/>
        <v>174</v>
      </c>
      <c r="B175" s="4" t="s">
        <v>10</v>
      </c>
      <c r="C175" s="5" t="s">
        <v>402</v>
      </c>
      <c r="D175" s="6" t="s">
        <v>403</v>
      </c>
      <c r="E175" s="3"/>
      <c r="F175" s="3" t="str">
        <f>IFERROR(__xludf.DUMMYFUNCTION("SWITCH(
  TRUE,
  REGEXMATCH(B175,""Brain Academy""),""BAC"",
  REGEXMATCH(B175,""English Academy""),""EAC"",
  """"
)&amp;"" ""&amp;IFERROR(TRIM(INDEX(SPLIT(C175,""-""),2)),C175)"),"BAC Brigjen Katamso")</f>
        <v>BAC Brigjen Katamso</v>
      </c>
      <c r="G175" s="3" t="str">
        <f>IFERROR(__xludf.DUMMYFUNCTION("TRIM(INDEX(SPLIT(C175,""-""),1))"),"Bontang")</f>
        <v>Bontang</v>
      </c>
      <c r="H175" s="3" t="str">
        <f>IFERROR(__xludf.DUMMYFUNCTION("TRIM(INDEX(SPLIT(C175,""-""),2))"),"Brigjen Katamso")</f>
        <v>Brigjen Katamso</v>
      </c>
      <c r="I175" s="3"/>
      <c r="J175" s="7">
        <v>0.1360771</v>
      </c>
      <c r="K175" s="7">
        <v>117.4678908</v>
      </c>
    </row>
    <row r="176">
      <c r="A176" s="3">
        <f t="shared" si="1"/>
        <v>175</v>
      </c>
      <c r="B176" s="4" t="s">
        <v>10</v>
      </c>
      <c r="C176" s="5" t="s">
        <v>404</v>
      </c>
      <c r="D176" s="6" t="s">
        <v>405</v>
      </c>
      <c r="E176" s="3"/>
      <c r="F176" s="3" t="str">
        <f>IFERROR(__xludf.DUMMYFUNCTION("SWITCH(
  TRUE,
  REGEXMATCH(B176,""Brain Academy""),""BAC"",
  REGEXMATCH(B176,""English Academy""),""EAC"",
  """"
)&amp;"" ""&amp;IFERROR(TRIM(INDEX(SPLIT(C176,""-""),2)),C176)"),"BAC Trunojoyo")</f>
        <v>BAC Trunojoyo</v>
      </c>
      <c r="G176" s="3" t="str">
        <f>IFERROR(__xludf.DUMMYFUNCTION("TRIM(INDEX(SPLIT(C176,""-""),1))"),"Sidoarjo")</f>
        <v>Sidoarjo</v>
      </c>
      <c r="H176" s="3" t="str">
        <f>IFERROR(__xludf.DUMMYFUNCTION("TRIM(INDEX(SPLIT(C176,""-""),2))"),"Trunojoyo")</f>
        <v>Trunojoyo</v>
      </c>
      <c r="I176" s="3"/>
      <c r="J176" s="7">
        <v>-7.4476596</v>
      </c>
      <c r="K176" s="7">
        <v>112.7224982</v>
      </c>
    </row>
    <row r="177">
      <c r="A177" s="3">
        <f t="shared" si="1"/>
        <v>176</v>
      </c>
      <c r="B177" s="4" t="s">
        <v>10</v>
      </c>
      <c r="C177" s="5" t="s">
        <v>406</v>
      </c>
      <c r="D177" s="6" t="s">
        <v>407</v>
      </c>
      <c r="E177" s="3"/>
      <c r="F177" s="3" t="str">
        <f>IFERROR(__xludf.DUMMYFUNCTION("SWITCH(
  TRUE,
  REGEXMATCH(B177,""Brain Academy""),""BAC"",
  REGEXMATCH(B177,""English Academy""),""EAC"",
  """"
)&amp;"" ""&amp;IFERROR(TRIM(INDEX(SPLIT(C177,""-""),2)),C177)"),"BAC Serdam")</f>
        <v>BAC Serdam</v>
      </c>
      <c r="G177" s="3" t="str">
        <f>IFERROR(__xludf.DUMMYFUNCTION("TRIM(INDEX(SPLIT(C177,""-""),1))"),"Kubu Raya")</f>
        <v>Kubu Raya</v>
      </c>
      <c r="H177" s="3" t="str">
        <f>IFERROR(__xludf.DUMMYFUNCTION("TRIM(INDEX(SPLIT(C177,""-""),2))"),"Serdam")</f>
        <v>Serdam</v>
      </c>
      <c r="I177" s="3"/>
      <c r="J177" s="7">
        <v>-0.0748812</v>
      </c>
      <c r="K177" s="7">
        <v>109.3584166</v>
      </c>
    </row>
    <row r="178">
      <c r="A178" s="3">
        <f t="shared" si="1"/>
        <v>177</v>
      </c>
      <c r="B178" s="4" t="s">
        <v>10</v>
      </c>
      <c r="C178" s="5" t="s">
        <v>408</v>
      </c>
      <c r="D178" s="6" t="s">
        <v>409</v>
      </c>
      <c r="E178" s="3"/>
      <c r="F178" s="3" t="str">
        <f>IFERROR(__xludf.DUMMYFUNCTION("SWITCH(
  TRUE,
  REGEXMATCH(B178,""Brain Academy""),""BAC"",
  REGEXMATCH(B178,""English Academy""),""EAC"",
  """"
)&amp;"" ""&amp;IFERROR(TRIM(INDEX(SPLIT(C178,""-""),2)),C178)"),"BAC Bintara")</f>
        <v>BAC Bintara</v>
      </c>
      <c r="G178" s="3" t="str">
        <f>IFERROR(__xludf.DUMMYFUNCTION("TRIM(INDEX(SPLIT(C178,""-""),1))"),"Bekasi")</f>
        <v>Bekasi</v>
      </c>
      <c r="H178" s="3" t="str">
        <f>IFERROR(__xludf.DUMMYFUNCTION("TRIM(INDEX(SPLIT(C178,""-""),2))"),"Bintara")</f>
        <v>Bintara</v>
      </c>
      <c r="I178" s="3"/>
      <c r="J178" s="7">
        <v>-6.2294128</v>
      </c>
      <c r="K178" s="7">
        <v>106.949837</v>
      </c>
    </row>
    <row r="179">
      <c r="A179" s="3">
        <f t="shared" si="1"/>
        <v>178</v>
      </c>
      <c r="B179" s="4" t="s">
        <v>10</v>
      </c>
      <c r="C179" s="5" t="s">
        <v>410</v>
      </c>
      <c r="D179" s="6" t="s">
        <v>411</v>
      </c>
      <c r="E179" s="3"/>
      <c r="F179" s="3" t="str">
        <f>IFERROR(__xludf.DUMMYFUNCTION("SWITCH(
  TRUE,
  REGEXMATCH(B179,""Brain Academy""),""BAC"",
  REGEXMATCH(B179,""English Academy""),""EAC"",
  """"
)&amp;"" ""&amp;IFERROR(TRIM(INDEX(SPLIT(C179,""-""),2)),C179)"),"BAC Cempaka Putih")</f>
        <v>BAC Cempaka Putih</v>
      </c>
      <c r="G179" s="3" t="str">
        <f>IFERROR(__xludf.DUMMYFUNCTION("TRIM(INDEX(SPLIT(C179,""-""),1))"),"Jakarta Pusat")</f>
        <v>Jakarta Pusat</v>
      </c>
      <c r="H179" s="3" t="str">
        <f>IFERROR(__xludf.DUMMYFUNCTION("TRIM(INDEX(SPLIT(C179,""-""),2))"),"Cempaka Putih")</f>
        <v>Cempaka Putih</v>
      </c>
      <c r="I179" s="3"/>
      <c r="J179" s="7">
        <v>-6.172512100000001</v>
      </c>
      <c r="K179" s="7">
        <v>106.866251</v>
      </c>
    </row>
    <row r="180">
      <c r="A180" s="3">
        <f t="shared" si="1"/>
        <v>179</v>
      </c>
      <c r="B180" s="4" t="s">
        <v>10</v>
      </c>
      <c r="C180" s="5" t="s">
        <v>412</v>
      </c>
      <c r="D180" s="6" t="s">
        <v>413</v>
      </c>
      <c r="E180" s="3"/>
      <c r="F180" s="3" t="str">
        <f>IFERROR(__xludf.DUMMYFUNCTION("SWITCH(
  TRUE,
  REGEXMATCH(B180,""Brain Academy""),""BAC"",
  REGEXMATCH(B180,""English Academy""),""EAC"",
  """"
)&amp;"" ""&amp;IFERROR(TRIM(INDEX(SPLIT(C180,""-""),2)),C180)"),"BAC Buaran")</f>
        <v>BAC Buaran</v>
      </c>
      <c r="G180" s="3" t="str">
        <f>IFERROR(__xludf.DUMMYFUNCTION("TRIM(INDEX(SPLIT(C180,""-""),1))"),"Jakarta Timur")</f>
        <v>Jakarta Timur</v>
      </c>
      <c r="H180" s="3" t="str">
        <f>IFERROR(__xludf.DUMMYFUNCTION("TRIM(INDEX(SPLIT(C180,""-""),2))"),"Buaran")</f>
        <v>Buaran</v>
      </c>
      <c r="I180" s="4" t="s">
        <v>342</v>
      </c>
      <c r="J180" s="4">
        <v>-6.237734499999999</v>
      </c>
      <c r="K180" s="4">
        <v>106.9222025</v>
      </c>
    </row>
    <row r="181">
      <c r="A181" s="3">
        <f t="shared" si="1"/>
        <v>180</v>
      </c>
      <c r="B181" s="4" t="s">
        <v>10</v>
      </c>
      <c r="C181" s="5" t="s">
        <v>414</v>
      </c>
      <c r="D181" s="6" t="s">
        <v>415</v>
      </c>
      <c r="E181" s="3"/>
      <c r="F181" s="3" t="str">
        <f>IFERROR(__xludf.DUMMYFUNCTION("SWITCH(
  TRUE,
  REGEXMATCH(B181,""Brain Academy""),""BAC"",
  REGEXMATCH(B181,""English Academy""),""EAC"",
  """"
)&amp;"" ""&amp;IFERROR(TRIM(INDEX(SPLIT(C181,""-""),2)),C181)"),"BAC Jatibening")</f>
        <v>BAC Jatibening</v>
      </c>
      <c r="G181" s="3" t="str">
        <f>IFERROR(__xludf.DUMMYFUNCTION("TRIM(INDEX(SPLIT(C181,""-""),1))"),"Bekasi")</f>
        <v>Bekasi</v>
      </c>
      <c r="H181" s="3" t="str">
        <f>IFERROR(__xludf.DUMMYFUNCTION("TRIM(INDEX(SPLIT(C181,""-""),2))"),"Jatibening")</f>
        <v>Jatibening</v>
      </c>
      <c r="I181" s="4" t="s">
        <v>416</v>
      </c>
      <c r="J181" s="4">
        <v>-6.2630621</v>
      </c>
      <c r="K181" s="4">
        <v>106.9453369</v>
      </c>
    </row>
    <row r="182">
      <c r="A182" s="3">
        <f t="shared" si="1"/>
        <v>181</v>
      </c>
      <c r="B182" s="4" t="s">
        <v>10</v>
      </c>
      <c r="C182" s="5" t="s">
        <v>417</v>
      </c>
      <c r="D182" s="6" t="s">
        <v>418</v>
      </c>
      <c r="E182" s="3"/>
      <c r="F182" s="3" t="str">
        <f>IFERROR(__xludf.DUMMYFUNCTION("SWITCH(
  TRUE,
  REGEXMATCH(B182,""Brain Academy""),""BAC"",
  REGEXMATCH(B182,""English Academy""),""EAC"",
  """"
)&amp;"" ""&amp;IFERROR(TRIM(INDEX(SPLIT(C182,""-""),2)),C182)"),"BAC Condet")</f>
        <v>BAC Condet</v>
      </c>
      <c r="G182" s="3" t="str">
        <f>IFERROR(__xludf.DUMMYFUNCTION("TRIM(INDEX(SPLIT(C182,""-""),1))"),"Jakarta Timur")</f>
        <v>Jakarta Timur</v>
      </c>
      <c r="H182" s="3" t="str">
        <f>IFERROR(__xludf.DUMMYFUNCTION("TRIM(INDEX(SPLIT(C182,""-""),2))"),"Condet")</f>
        <v>Condet</v>
      </c>
      <c r="I182" s="4" t="s">
        <v>419</v>
      </c>
      <c r="J182" s="4">
        <v>-6.2952239</v>
      </c>
      <c r="K182" s="4">
        <v>106.8559266</v>
      </c>
    </row>
    <row r="183">
      <c r="A183" s="3">
        <f t="shared" si="1"/>
        <v>182</v>
      </c>
      <c r="B183" s="4" t="s">
        <v>10</v>
      </c>
      <c r="C183" s="5" t="s">
        <v>420</v>
      </c>
      <c r="D183" s="6" t="s">
        <v>421</v>
      </c>
      <c r="E183" s="3"/>
      <c r="F183" s="3" t="str">
        <f>IFERROR(__xludf.DUMMYFUNCTION("SWITCH(
  TRUE,
  REGEXMATCH(B183,""Brain Academy""),""BAC"",
  REGEXMATCH(B183,""English Academy""),""EAC"",
  """"
)&amp;"" ""&amp;IFERROR(TRIM(INDEX(SPLIT(C183,""-""),2)),C183)"),"BAC Pejaten")</f>
        <v>BAC Pejaten</v>
      </c>
      <c r="G183" s="3" t="str">
        <f>IFERROR(__xludf.DUMMYFUNCTION("TRIM(INDEX(SPLIT(C183,""-""),1))"),"Jakarta Selatan")</f>
        <v>Jakarta Selatan</v>
      </c>
      <c r="H183" s="3" t="str">
        <f>IFERROR(__xludf.DUMMYFUNCTION("TRIM(INDEX(SPLIT(C183,""-""),2))"),"Pejaten")</f>
        <v>Pejaten</v>
      </c>
      <c r="I183" s="3"/>
      <c r="J183" s="7">
        <v>-6.263974800000001</v>
      </c>
      <c r="K183" s="7">
        <v>106.8371966</v>
      </c>
    </row>
    <row r="184">
      <c r="A184" s="3">
        <f t="shared" si="1"/>
        <v>183</v>
      </c>
      <c r="B184" s="4" t="s">
        <v>10</v>
      </c>
      <c r="C184" s="5" t="s">
        <v>422</v>
      </c>
      <c r="D184" s="6" t="s">
        <v>423</v>
      </c>
      <c r="E184" s="3"/>
      <c r="F184" s="3" t="str">
        <f>IFERROR(__xludf.DUMMYFUNCTION("SWITCH(
  TRUE,
  REGEXMATCH(B184,""Brain Academy""),""BAC"",
  REGEXMATCH(B184,""English Academy""),""EAC"",
  """"
)&amp;"" ""&amp;IFERROR(TRIM(INDEX(SPLIT(C184,""-""),2)),C184)"),"BAC Ahmad Yani")</f>
        <v>BAC Ahmad Yani</v>
      </c>
      <c r="G184" s="3" t="str">
        <f>IFERROR(__xludf.DUMMYFUNCTION("TRIM(INDEX(SPLIT(C184,""-""),1))"),"Singaraja")</f>
        <v>Singaraja</v>
      </c>
      <c r="H184" s="3" t="str">
        <f>IFERROR(__xludf.DUMMYFUNCTION("TRIM(INDEX(SPLIT(C184,""-""),2))"),"Ahmad Yani")</f>
        <v>Ahmad Yani</v>
      </c>
      <c r="I184" s="3"/>
      <c r="J184" s="7">
        <v>-8.1103155</v>
      </c>
      <c r="K184" s="7">
        <v>115.0883609</v>
      </c>
    </row>
    <row r="185">
      <c r="A185" s="3">
        <f t="shared" si="1"/>
        <v>184</v>
      </c>
      <c r="B185" s="4" t="s">
        <v>10</v>
      </c>
      <c r="C185" s="5" t="s">
        <v>424</v>
      </c>
      <c r="D185" s="6" t="s">
        <v>425</v>
      </c>
      <c r="E185" s="3"/>
      <c r="F185" s="3" t="str">
        <f>IFERROR(__xludf.DUMMYFUNCTION("SWITCH(
  TRUE,
  REGEXMATCH(B185,""Brain Academy""),""BAC"",
  REGEXMATCH(B185,""English Academy""),""EAC"",
  """"
)&amp;"" ""&amp;IFERROR(TRIM(INDEX(SPLIT(C185,""-""),2)),C185)"),"BAC Sangiang")</f>
        <v>BAC Sangiang</v>
      </c>
      <c r="G185" s="3" t="str">
        <f>IFERROR(__xludf.DUMMYFUNCTION("TRIM(INDEX(SPLIT(C185,""-""),1))"),"Tangerang")</f>
        <v>Tangerang</v>
      </c>
      <c r="H185" s="3" t="str">
        <f>IFERROR(__xludf.DUMMYFUNCTION("TRIM(INDEX(SPLIT(C185,""-""),2))"),"Sangiang")</f>
        <v>Sangiang</v>
      </c>
      <c r="I185" s="3"/>
      <c r="J185" s="7">
        <v>-6.1707179</v>
      </c>
      <c r="K185" s="7">
        <v>106.6095683</v>
      </c>
    </row>
    <row r="186">
      <c r="A186" s="3">
        <f t="shared" si="1"/>
        <v>185</v>
      </c>
      <c r="B186" s="4" t="s">
        <v>10</v>
      </c>
      <c r="C186" s="5" t="s">
        <v>426</v>
      </c>
      <c r="D186" s="6" t="s">
        <v>427</v>
      </c>
      <c r="E186" s="3"/>
      <c r="F186" s="3" t="str">
        <f>IFERROR(__xludf.DUMMYFUNCTION("SWITCH(
  TRUE,
  REGEXMATCH(B186,""Brain Academy""),""BAC"",
  REGEXMATCH(B186,""English Academy""),""EAC"",
  """"
)&amp;"" ""&amp;IFERROR(TRIM(INDEX(SPLIT(C186,""-""),2)),C186)"),"BAC Padalarang")</f>
        <v>BAC Padalarang</v>
      </c>
      <c r="G186" s="3" t="str">
        <f>IFERROR(__xludf.DUMMYFUNCTION("TRIM(INDEX(SPLIT(C186,""-""),1))"),"Bandung")</f>
        <v>Bandung</v>
      </c>
      <c r="H186" s="3" t="str">
        <f>IFERROR(__xludf.DUMMYFUNCTION("TRIM(INDEX(SPLIT(C186,""-""),2))"),"Padalarang")</f>
        <v>Padalarang</v>
      </c>
      <c r="I186" s="3"/>
      <c r="J186" s="7">
        <v>-6.8381428</v>
      </c>
      <c r="K186" s="7">
        <v>107.4879283</v>
      </c>
    </row>
    <row r="187">
      <c r="A187" s="3">
        <f t="shared" si="1"/>
        <v>186</v>
      </c>
      <c r="B187" s="4" t="s">
        <v>10</v>
      </c>
      <c r="C187" s="5" t="s">
        <v>428</v>
      </c>
      <c r="D187" s="6" t="s">
        <v>429</v>
      </c>
      <c r="E187" s="3"/>
      <c r="F187" s="3" t="str">
        <f>IFERROR(__xludf.DUMMYFUNCTION("SWITCH(
  TRUE,
  REGEXMATCH(B187,""Brain Academy""),""BAC"",
  REGEXMATCH(B187,""English Academy""),""EAC"",
  """"
)&amp;"" ""&amp;IFERROR(TRIM(INDEX(SPLIT(C187,""-""),2)),C187)"),"BAC Setiabudi")</f>
        <v>BAC Setiabudi</v>
      </c>
      <c r="G187" s="3" t="str">
        <f>IFERROR(__xludf.DUMMYFUNCTION("TRIM(INDEX(SPLIT(C187,""-""),1))"),"Bandung")</f>
        <v>Bandung</v>
      </c>
      <c r="H187" s="3" t="str">
        <f>IFERROR(__xludf.DUMMYFUNCTION("TRIM(INDEX(SPLIT(C187,""-""),2))"),"Setiabudi")</f>
        <v>Setiabudi</v>
      </c>
      <c r="I187" s="4" t="s">
        <v>430</v>
      </c>
      <c r="J187" s="4">
        <v>-6.868595999999999</v>
      </c>
      <c r="K187" s="4">
        <v>107.5937436</v>
      </c>
    </row>
    <row r="188">
      <c r="A188" s="3">
        <f t="shared" si="1"/>
        <v>187</v>
      </c>
      <c r="B188" s="4" t="s">
        <v>10</v>
      </c>
      <c r="C188" s="5" t="s">
        <v>431</v>
      </c>
      <c r="D188" s="6" t="s">
        <v>432</v>
      </c>
      <c r="E188" s="3"/>
      <c r="F188" s="3" t="str">
        <f>IFERROR(__xludf.DUMMYFUNCTION("SWITCH(
  TRUE,
  REGEXMATCH(B188,""Brain Academy""),""BAC"",
  REGEXMATCH(B188,""English Academy""),""EAC"",
  """"
)&amp;"" ""&amp;IFERROR(TRIM(INDEX(SPLIT(C188,""-""),2)),C188)"),"BAC Sukarami")</f>
        <v>BAC Sukarami</v>
      </c>
      <c r="G188" s="3" t="str">
        <f>IFERROR(__xludf.DUMMYFUNCTION("TRIM(INDEX(SPLIT(C188,""-""),1))"),"Palembang")</f>
        <v>Palembang</v>
      </c>
      <c r="H188" s="3" t="str">
        <f>IFERROR(__xludf.DUMMYFUNCTION("TRIM(INDEX(SPLIT(C188,""-""),2))"),"Sukarami")</f>
        <v>Sukarami</v>
      </c>
      <c r="I188" s="3"/>
      <c r="J188" s="7">
        <v>-2.9271599</v>
      </c>
      <c r="K188" s="7">
        <v>104.7143901</v>
      </c>
    </row>
    <row r="189">
      <c r="A189" s="3">
        <f t="shared" si="1"/>
        <v>188</v>
      </c>
      <c r="B189" s="4" t="s">
        <v>10</v>
      </c>
      <c r="C189" s="5" t="s">
        <v>433</v>
      </c>
      <c r="D189" s="6" t="s">
        <v>434</v>
      </c>
      <c r="E189" s="3"/>
      <c r="F189" s="3" t="str">
        <f>IFERROR(__xludf.DUMMYFUNCTION("SWITCH(
  TRUE,
  REGEXMATCH(B189,""Brain Academy""),""BAC"",
  REGEXMATCH(B189,""English Academy""),""EAC"",
  """"
)&amp;"" ""&amp;IFERROR(TRIM(INDEX(SPLIT(C189,""-""),2)),C189)"),"BAC Sutomo")</f>
        <v>BAC Sutomo</v>
      </c>
      <c r="G189" s="3" t="str">
        <f>IFERROR(__xludf.DUMMYFUNCTION("TRIM(INDEX(SPLIT(C189,""-""),1))"),"Padang")</f>
        <v>Padang</v>
      </c>
      <c r="H189" s="3" t="str">
        <f>IFERROR(__xludf.DUMMYFUNCTION("TRIM(INDEX(SPLIT(C189,""-""),2))"),"Sutomo")</f>
        <v>Sutomo</v>
      </c>
      <c r="I189" s="3"/>
      <c r="J189" s="7">
        <v>-0.9462737999999999</v>
      </c>
      <c r="K189" s="7">
        <v>100.379485</v>
      </c>
    </row>
    <row r="190">
      <c r="A190" s="3">
        <f t="shared" si="1"/>
        <v>189</v>
      </c>
      <c r="B190" s="4" t="s">
        <v>10</v>
      </c>
      <c r="C190" s="5" t="s">
        <v>435</v>
      </c>
      <c r="D190" s="6" t="s">
        <v>436</v>
      </c>
      <c r="E190" s="3"/>
      <c r="F190" s="3" t="str">
        <f>IFERROR(__xludf.DUMMYFUNCTION("SWITCH(
  TRUE,
  REGEXMATCH(B190,""Brain Academy""),""BAC"",
  REGEXMATCH(B190,""English Academy""),""EAC"",
  """"
)&amp;"" ""&amp;IFERROR(TRIM(INDEX(SPLIT(C190,""-""),2)),C190)"),"BAC Ujung Gurun")</f>
        <v>BAC Ujung Gurun</v>
      </c>
      <c r="G190" s="3" t="str">
        <f>IFERROR(__xludf.DUMMYFUNCTION("TRIM(INDEX(SPLIT(C190,""-""),1))"),"Padang")</f>
        <v>Padang</v>
      </c>
      <c r="H190" s="3" t="str">
        <f>IFERROR(__xludf.DUMMYFUNCTION("TRIM(INDEX(SPLIT(C190,""-""),2))"),"Ujung Gurun")</f>
        <v>Ujung Gurun</v>
      </c>
      <c r="I190" s="3"/>
      <c r="J190" s="7">
        <v>-0.9344859999999999</v>
      </c>
      <c r="K190" s="7">
        <v>100.3569202</v>
      </c>
    </row>
    <row r="191">
      <c r="A191" s="3">
        <f t="shared" si="1"/>
        <v>190</v>
      </c>
      <c r="B191" s="4" t="s">
        <v>10</v>
      </c>
      <c r="C191" s="5" t="s">
        <v>437</v>
      </c>
      <c r="D191" s="6" t="s">
        <v>438</v>
      </c>
      <c r="E191" s="3"/>
      <c r="F191" s="3" t="str">
        <f>IFERROR(__xludf.DUMMYFUNCTION("SWITCH(
  TRUE,
  REGEXMATCH(B191,""Brain Academy""),""BAC"",
  REGEXMATCH(B191,""English Academy""),""EAC"",
  """"
)&amp;"" ""&amp;IFERROR(TRIM(INDEX(SPLIT(C191,""-""),2)),C191)"),"BAC Cifest")</f>
        <v>BAC Cifest</v>
      </c>
      <c r="G191" s="3" t="str">
        <f>IFERROR(__xludf.DUMMYFUNCTION("TRIM(INDEX(SPLIT(C191,""-""),1))"),"Cikarang")</f>
        <v>Cikarang</v>
      </c>
      <c r="H191" s="3" t="str">
        <f>IFERROR(__xludf.DUMMYFUNCTION("TRIM(INDEX(SPLIT(C191,""-""),2))"),"Cifest")</f>
        <v>Cifest</v>
      </c>
      <c r="I191" s="3"/>
      <c r="J191" s="7">
        <v>-6.3407733</v>
      </c>
      <c r="K191" s="7">
        <v>107.1201184</v>
      </c>
    </row>
    <row r="192">
      <c r="A192" s="3">
        <f t="shared" si="1"/>
        <v>191</v>
      </c>
      <c r="B192" s="4" t="s">
        <v>10</v>
      </c>
      <c r="C192" s="5" t="s">
        <v>439</v>
      </c>
      <c r="D192" s="6" t="s">
        <v>440</v>
      </c>
      <c r="E192" s="3"/>
      <c r="F192" s="3" t="str">
        <f>IFERROR(__xludf.DUMMYFUNCTION("SWITCH(
  TRUE,
  REGEXMATCH(B192,""Brain Academy""),""BAC"",
  REGEXMATCH(B192,""English Academy""),""EAC"",
  """"
)&amp;"" ""&amp;IFERROR(TRIM(INDEX(SPLIT(C192,""-""),2)),C192)"),"BAC Agus Salim")</f>
        <v>BAC Agus Salim</v>
      </c>
      <c r="G192" s="3" t="str">
        <f>IFERROR(__xludf.DUMMYFUNCTION("TRIM(INDEX(SPLIT(C192,""-""),1))"),"Bekasi")</f>
        <v>Bekasi</v>
      </c>
      <c r="H192" s="3" t="str">
        <f>IFERROR(__xludf.DUMMYFUNCTION("TRIM(INDEX(SPLIT(C192,""-""),2))"),"Agus Salim")</f>
        <v>Agus Salim</v>
      </c>
      <c r="I192" s="4" t="s">
        <v>185</v>
      </c>
      <c r="J192" s="4">
        <v>-6.2311064</v>
      </c>
      <c r="K192" s="4">
        <v>107.0099369</v>
      </c>
    </row>
    <row r="193">
      <c r="A193" s="3">
        <f t="shared" si="1"/>
        <v>192</v>
      </c>
      <c r="B193" s="4" t="s">
        <v>10</v>
      </c>
      <c r="C193" s="5" t="s">
        <v>441</v>
      </c>
      <c r="D193" s="6" t="s">
        <v>442</v>
      </c>
      <c r="E193" s="3"/>
      <c r="F193" s="3" t="str">
        <f>IFERROR(__xludf.DUMMYFUNCTION("SWITCH(
  TRUE,
  REGEXMATCH(B193,""Brain Academy""),""BAC"",
  REGEXMATCH(B193,""English Academy""),""EAC"",
  """"
)&amp;"" ""&amp;IFERROR(TRIM(INDEX(SPLIT(C193,""-""),2)),C193)"),"BAC Sultan Hasanuddin")</f>
        <v>BAC Sultan Hasanuddin</v>
      </c>
      <c r="G193" s="3" t="str">
        <f>IFERROR(__xludf.DUMMYFUNCTION("TRIM(INDEX(SPLIT(C193,""-""),1))"),"Mamuju")</f>
        <v>Mamuju</v>
      </c>
      <c r="H193" s="3" t="str">
        <f>IFERROR(__xludf.DUMMYFUNCTION("TRIM(INDEX(SPLIT(C193,""-""),2))"),"Sultan Hasanuddin")</f>
        <v>Sultan Hasanuddin</v>
      </c>
      <c r="I193" s="3"/>
      <c r="J193" s="7">
        <v>-2.675473</v>
      </c>
      <c r="K193" s="7">
        <v>118.8939217</v>
      </c>
    </row>
    <row r="194">
      <c r="A194" s="3">
        <f t="shared" si="1"/>
        <v>193</v>
      </c>
      <c r="B194" s="4" t="s">
        <v>10</v>
      </c>
      <c r="C194" s="5" t="s">
        <v>443</v>
      </c>
      <c r="D194" s="6" t="s">
        <v>444</v>
      </c>
      <c r="E194" s="3"/>
      <c r="F194" s="3" t="str">
        <f>IFERROR(__xludf.DUMMYFUNCTION("SWITCH(
  TRUE,
  REGEXMATCH(B194,""Brain Academy""),""BAC"",
  REGEXMATCH(B194,""English Academy""),""EAC"",
  """"
)&amp;"" ""&amp;IFERROR(TRIM(INDEX(SPLIT(C194,""-""),2)),C194)"),"BAC Bengawan")</f>
        <v>BAC Bengawan</v>
      </c>
      <c r="G194" s="3" t="str">
        <f>IFERROR(__xludf.DUMMYFUNCTION("TRIM(INDEX(SPLIT(C194,""-""),1))"),"Bandung")</f>
        <v>Bandung</v>
      </c>
      <c r="H194" s="3" t="str">
        <f>IFERROR(__xludf.DUMMYFUNCTION("TRIM(INDEX(SPLIT(C194,""-""),2))"),"Bengawan")</f>
        <v>Bengawan</v>
      </c>
      <c r="I194" s="4" t="s">
        <v>445</v>
      </c>
      <c r="J194" s="4">
        <v>-6.909747899999999</v>
      </c>
      <c r="K194" s="4">
        <v>107.6279286</v>
      </c>
    </row>
    <row r="195">
      <c r="A195" s="3">
        <f t="shared" si="1"/>
        <v>194</v>
      </c>
      <c r="B195" s="4" t="s">
        <v>10</v>
      </c>
      <c r="C195" s="5" t="s">
        <v>446</v>
      </c>
      <c r="D195" s="6" t="s">
        <v>447</v>
      </c>
      <c r="E195" s="3"/>
      <c r="F195" s="3" t="str">
        <f>IFERROR(__xludf.DUMMYFUNCTION("SWITCH(
  TRUE,
  REGEXMATCH(B195,""Brain Academy""),""BAC"",
  REGEXMATCH(B195,""English Academy""),""EAC"",
  """"
)&amp;"" ""&amp;IFERROR(TRIM(INDEX(SPLIT(C195,""-""),2)),C195)"),"BAC Pemuda")</f>
        <v>BAC Pemuda</v>
      </c>
      <c r="G195" s="3" t="str">
        <f>IFERROR(__xludf.DUMMYFUNCTION("TRIM(INDEX(SPLIT(C195,""-""),1))"),"Jepara")</f>
        <v>Jepara</v>
      </c>
      <c r="H195" s="3" t="str">
        <f>IFERROR(__xludf.DUMMYFUNCTION("TRIM(INDEX(SPLIT(C195,""-""),2))"),"Pemuda")</f>
        <v>Pemuda</v>
      </c>
      <c r="I195" s="3"/>
      <c r="J195" s="7">
        <v>-6.596495099999999</v>
      </c>
      <c r="K195" s="7">
        <v>110.6721153</v>
      </c>
    </row>
    <row r="196">
      <c r="A196" s="3">
        <f t="shared" si="1"/>
        <v>195</v>
      </c>
      <c r="B196" s="4" t="s">
        <v>10</v>
      </c>
      <c r="C196" s="5" t="s">
        <v>448</v>
      </c>
      <c r="D196" s="6" t="s">
        <v>449</v>
      </c>
      <c r="E196" s="3"/>
      <c r="F196" s="3" t="str">
        <f>IFERROR(__xludf.DUMMYFUNCTION("SWITCH(
  TRUE,
  REGEXMATCH(B196,""Brain Academy""),""BAC"",
  REGEXMATCH(B196,""English Academy""),""EAC"",
  """"
)&amp;"" ""&amp;IFERROR(TRIM(INDEX(SPLIT(C196,""-""),2)),C196)"),"BAC Agus Salim")</f>
        <v>BAC Agus Salim</v>
      </c>
      <c r="G196" s="3" t="str">
        <f>IFERROR(__xludf.DUMMYFUNCTION("TRIM(INDEX(SPLIT(C196,""-""),1))"),"Batu")</f>
        <v>Batu</v>
      </c>
      <c r="H196" s="3" t="str">
        <f>IFERROR(__xludf.DUMMYFUNCTION("TRIM(INDEX(SPLIT(C196,""-""),2))"),"Agus Salim")</f>
        <v>Agus Salim</v>
      </c>
      <c r="I196" s="4" t="s">
        <v>185</v>
      </c>
      <c r="J196" s="4">
        <v>-7.8825699</v>
      </c>
      <c r="K196" s="4">
        <v>112.5296886</v>
      </c>
    </row>
    <row r="197">
      <c r="A197" s="3">
        <f t="shared" si="1"/>
        <v>196</v>
      </c>
      <c r="B197" s="4" t="s">
        <v>10</v>
      </c>
      <c r="C197" s="5" t="s">
        <v>450</v>
      </c>
      <c r="D197" s="6" t="s">
        <v>451</v>
      </c>
      <c r="E197" s="3"/>
      <c r="F197" s="3" t="str">
        <f>IFERROR(__xludf.DUMMYFUNCTION("SWITCH(
  TRUE,
  REGEXMATCH(B197,""Brain Academy""),""BAC"",
  REGEXMATCH(B197,""English Academy""),""EAC"",
  """"
)&amp;"" ""&amp;IFERROR(TRIM(INDEX(SPLIT(C197,""-""),2)),C197)"),"BAC S. Parman")</f>
        <v>BAC S. Parman</v>
      </c>
      <c r="G197" s="3" t="str">
        <f>IFERROR(__xludf.DUMMYFUNCTION("TRIM(INDEX(SPLIT(C197,""-""),1))"),"Cilacap")</f>
        <v>Cilacap</v>
      </c>
      <c r="H197" s="3" t="str">
        <f>IFERROR(__xludf.DUMMYFUNCTION("TRIM(INDEX(SPLIT(C197,""-""),2))"),"S. Parman")</f>
        <v>S. Parman</v>
      </c>
      <c r="I197" s="3"/>
      <c r="J197" s="7">
        <v>-7.7239034</v>
      </c>
      <c r="K197" s="7">
        <v>109.0133774</v>
      </c>
    </row>
    <row r="198">
      <c r="A198" s="3">
        <f t="shared" si="1"/>
        <v>197</v>
      </c>
      <c r="B198" s="4" t="s">
        <v>10</v>
      </c>
      <c r="C198" s="5" t="s">
        <v>452</v>
      </c>
      <c r="D198" s="6" t="s">
        <v>453</v>
      </c>
      <c r="E198" s="3"/>
      <c r="F198" s="3" t="str">
        <f>IFERROR(__xludf.DUMMYFUNCTION("SWITCH(
  TRUE,
  REGEXMATCH(B198,""Brain Academy""),""BAC"",
  REGEXMATCH(B198,""English Academy""),""EAC"",
  """"
)&amp;"" ""&amp;IFERROR(TRIM(INDEX(SPLIT(C198,""-""),2)),C198)"),"BAC KH Agus Salim")</f>
        <v>BAC KH Agus Salim</v>
      </c>
      <c r="G198" s="3" t="str">
        <f>IFERROR(__xludf.DUMMYFUNCTION("TRIM(INDEX(SPLIT(C198,""-""),1))"),"Gunungkidul")</f>
        <v>Gunungkidul</v>
      </c>
      <c r="H198" s="3" t="str">
        <f>IFERROR(__xludf.DUMMYFUNCTION("TRIM(INDEX(SPLIT(C198,""-""),2))"),"KH Agus Salim")</f>
        <v>KH Agus Salim</v>
      </c>
      <c r="I198" s="3"/>
      <c r="J198" s="7">
        <v>-7.963353799999999</v>
      </c>
      <c r="K198" s="7">
        <v>110.5984321</v>
      </c>
    </row>
    <row r="199">
      <c r="A199" s="3">
        <f t="shared" si="1"/>
        <v>198</v>
      </c>
      <c r="B199" s="4" t="s">
        <v>10</v>
      </c>
      <c r="C199" s="5" t="s">
        <v>454</v>
      </c>
      <c r="D199" s="6" t="s">
        <v>455</v>
      </c>
      <c r="E199" s="3"/>
      <c r="F199" s="3" t="str">
        <f>IFERROR(__xludf.DUMMYFUNCTION("SWITCH(
  TRUE,
  REGEXMATCH(B199,""Brain Academy""),""BAC"",
  REGEXMATCH(B199,""English Academy""),""EAC"",
  """"
)&amp;"" ""&amp;IFERROR(TRIM(INDEX(SPLIT(C199,""-""),2)),C199)"),"BAC Bungo")</f>
        <v>BAC Bungo</v>
      </c>
      <c r="G199" s="3" t="str">
        <f>IFERROR(__xludf.DUMMYFUNCTION("TRIM(INDEX(SPLIT(C199,""-""),1))"),"Jambi")</f>
        <v>Jambi</v>
      </c>
      <c r="H199" s="3" t="str">
        <f>IFERROR(__xludf.DUMMYFUNCTION("TRIM(INDEX(SPLIT(C199,""-""),2))"),"Bungo")</f>
        <v>Bungo</v>
      </c>
      <c r="I199" s="3"/>
      <c r="J199" s="7">
        <v>-1.5033901</v>
      </c>
      <c r="K199" s="7">
        <v>102.1186462</v>
      </c>
    </row>
    <row r="200">
      <c r="A200" s="3">
        <f t="shared" si="1"/>
        <v>199</v>
      </c>
      <c r="B200" s="4" t="s">
        <v>10</v>
      </c>
      <c r="C200" s="5" t="s">
        <v>456</v>
      </c>
      <c r="D200" s="6" t="s">
        <v>457</v>
      </c>
      <c r="E200" s="3"/>
      <c r="F200" s="3" t="str">
        <f>IFERROR(__xludf.DUMMYFUNCTION("SWITCH(
  TRUE,
  REGEXMATCH(B200,""Brain Academy""),""BAC"",
  REGEXMATCH(B200,""English Academy""),""EAC"",
  """"
)&amp;"" ""&amp;IFERROR(TRIM(INDEX(SPLIT(C200,""-""),2)),C200)"),"BAC Baruga")</f>
        <v>BAC Baruga</v>
      </c>
      <c r="G200" s="3" t="str">
        <f>IFERROR(__xludf.DUMMYFUNCTION("TRIM(INDEX(SPLIT(C200,""-""),1))"),"Makassar")</f>
        <v>Makassar</v>
      </c>
      <c r="H200" s="3" t="str">
        <f>IFERROR(__xludf.DUMMYFUNCTION("TRIM(INDEX(SPLIT(C200,""-""),2))"),"Baruga")</f>
        <v>Baruga</v>
      </c>
      <c r="I200" s="3"/>
      <c r="J200" s="7">
        <v>-5.155509599999999</v>
      </c>
      <c r="K200" s="7">
        <v>119.4875266</v>
      </c>
    </row>
    <row r="201">
      <c r="A201" s="3">
        <f t="shared" si="1"/>
        <v>200</v>
      </c>
      <c r="B201" s="4" t="s">
        <v>10</v>
      </c>
      <c r="C201" s="5" t="s">
        <v>458</v>
      </c>
      <c r="D201" s="6" t="s">
        <v>459</v>
      </c>
      <c r="E201" s="3"/>
      <c r="F201" s="3" t="str">
        <f>IFERROR(__xludf.DUMMYFUNCTION("SWITCH(
  TRUE,
  REGEXMATCH(B201,""Brain Academy""),""BAC"",
  REGEXMATCH(B201,""English Academy""),""EAC"",
  """"
)&amp;"" ""&amp;IFERROR(TRIM(INDEX(SPLIT(C201,""-""),2)),C201)"),"BAC Karangayu")</f>
        <v>BAC Karangayu</v>
      </c>
      <c r="G201" s="3" t="str">
        <f>IFERROR(__xludf.DUMMYFUNCTION("TRIM(INDEX(SPLIT(C201,""-""),1))"),"Semarang")</f>
        <v>Semarang</v>
      </c>
      <c r="H201" s="3" t="str">
        <f>IFERROR(__xludf.DUMMYFUNCTION("TRIM(INDEX(SPLIT(C201,""-""),2))"),"Karangayu")</f>
        <v>Karangayu</v>
      </c>
      <c r="I201" s="3"/>
      <c r="J201" s="7">
        <v>-6.9832142</v>
      </c>
      <c r="K201" s="7">
        <v>110.3907907</v>
      </c>
    </row>
    <row r="202">
      <c r="A202" s="3">
        <f t="shared" si="1"/>
        <v>201</v>
      </c>
      <c r="B202" s="4" t="s">
        <v>10</v>
      </c>
      <c r="C202" s="5" t="s">
        <v>460</v>
      </c>
      <c r="D202" s="6" t="s">
        <v>461</v>
      </c>
      <c r="E202" s="3"/>
      <c r="F202" s="3" t="str">
        <f>IFERROR(__xludf.DUMMYFUNCTION("SWITCH(
  TRUE,
  REGEXMATCH(B202,""Brain Academy""),""BAC"",
  REGEXMATCH(B202,""English Academy""),""EAC"",
  """"
)&amp;"" ""&amp;IFERROR(TRIM(INDEX(SPLIT(C202,""-""),2)),C202)"),"BAC Veteran")</f>
        <v>BAC Veteran</v>
      </c>
      <c r="G202" s="3" t="str">
        <f>IFERROR(__xludf.DUMMYFUNCTION("TRIM(INDEX(SPLIT(C202,""-""),1))"),"Jakarta Selatan")</f>
        <v>Jakarta Selatan</v>
      </c>
      <c r="H202" s="3" t="str">
        <f>IFERROR(__xludf.DUMMYFUNCTION("TRIM(INDEX(SPLIT(C202,""-""),2))"),"Veteran")</f>
        <v>Veteran</v>
      </c>
      <c r="I202" s="3"/>
      <c r="J202" s="7">
        <v>-6.2966045</v>
      </c>
      <c r="K202" s="7">
        <v>106.7583499</v>
      </c>
    </row>
    <row r="203">
      <c r="A203" s="3">
        <f t="shared" si="1"/>
        <v>202</v>
      </c>
      <c r="B203" s="4" t="s">
        <v>10</v>
      </c>
      <c r="C203" s="5" t="s">
        <v>462</v>
      </c>
      <c r="D203" s="6" t="s">
        <v>463</v>
      </c>
      <c r="E203" s="3"/>
      <c r="F203" s="3" t="str">
        <f>IFERROR(__xludf.DUMMYFUNCTION("SWITCH(
  TRUE,
  REGEXMATCH(B203,""Brain Academy""),""BAC"",
  REGEXMATCH(B203,""English Academy""),""EAC"",
  """"
)&amp;"" ""&amp;IFERROR(TRIM(INDEX(SPLIT(C203,""-""),2)),C203)"),"BAC Kapten Tendean")</f>
        <v>BAC Kapten Tendean</v>
      </c>
      <c r="G203" s="3" t="str">
        <f>IFERROR(__xludf.DUMMYFUNCTION("TRIM(INDEX(SPLIT(C203,""-""),1))"),"Jombang")</f>
        <v>Jombang</v>
      </c>
      <c r="H203" s="3" t="str">
        <f>IFERROR(__xludf.DUMMYFUNCTION("TRIM(INDEX(SPLIT(C203,""-""),2))"),"Kapten Tendean")</f>
        <v>Kapten Tendean</v>
      </c>
      <c r="I203" s="3"/>
      <c r="J203" s="7">
        <v>-7.5419024</v>
      </c>
      <c r="K203" s="7">
        <v>112.2252476</v>
      </c>
    </row>
    <row r="204">
      <c r="A204" s="3">
        <f t="shared" si="1"/>
        <v>203</v>
      </c>
      <c r="B204" s="4" t="s">
        <v>10</v>
      </c>
      <c r="C204" s="5" t="s">
        <v>464</v>
      </c>
      <c r="D204" s="6" t="s">
        <v>465</v>
      </c>
      <c r="E204" s="3"/>
      <c r="F204" s="3" t="str">
        <f>IFERROR(__xludf.DUMMYFUNCTION("SWITCH(
  TRUE,
  REGEXMATCH(B204,""Brain Academy""),""BAC"",
  REGEXMATCH(B204,""English Academy""),""EAC"",
  """"
)&amp;"" ""&amp;IFERROR(TRIM(INDEX(SPLIT(C204,""-""),2)),C204)"),"BAC Pluit")</f>
        <v>BAC Pluit</v>
      </c>
      <c r="G204" s="3" t="str">
        <f>IFERROR(__xludf.DUMMYFUNCTION("TRIM(INDEX(SPLIT(C204,""-""),1))"),"Jakarta Utara")</f>
        <v>Jakarta Utara</v>
      </c>
      <c r="H204" s="3" t="str">
        <f>IFERROR(__xludf.DUMMYFUNCTION("TRIM(INDEX(SPLIT(C204,""-""),2))"),"Pluit")</f>
        <v>Pluit</v>
      </c>
      <c r="I204" s="3"/>
      <c r="J204" s="7">
        <v>-6.136832</v>
      </c>
      <c r="K204" s="7">
        <v>106.8007811</v>
      </c>
    </row>
    <row r="205">
      <c r="A205" s="3">
        <f t="shared" si="1"/>
        <v>204</v>
      </c>
      <c r="B205" s="4" t="s">
        <v>10</v>
      </c>
      <c r="C205" s="5" t="s">
        <v>466</v>
      </c>
      <c r="D205" s="6" t="s">
        <v>467</v>
      </c>
      <c r="E205" s="3"/>
      <c r="F205" s="3" t="str">
        <f>IFERROR(__xludf.DUMMYFUNCTION("SWITCH(
  TRUE,
  REGEXMATCH(B205,""Brain Academy""),""BAC"",
  REGEXMATCH(B205,""English Academy""),""EAC"",
  """"
)&amp;"" ""&amp;IFERROR(TRIM(INDEX(SPLIT(C205,""-""),2)),C205)"),"BAC GKB")</f>
        <v>BAC GKB</v>
      </c>
      <c r="G205" s="3" t="str">
        <f>IFERROR(__xludf.DUMMYFUNCTION("TRIM(INDEX(SPLIT(C205,""-""),1))"),"Gresik")</f>
        <v>Gresik</v>
      </c>
      <c r="H205" s="3" t="str">
        <f>IFERROR(__xludf.DUMMYFUNCTION("TRIM(INDEX(SPLIT(C205,""-""),2))"),"GKB")</f>
        <v>GKB</v>
      </c>
      <c r="I205" s="3"/>
      <c r="J205" s="7">
        <v>-7.1569129</v>
      </c>
      <c r="K205" s="7">
        <v>112.6169791</v>
      </c>
    </row>
    <row r="206">
      <c r="A206" s="3">
        <f t="shared" si="1"/>
        <v>205</v>
      </c>
      <c r="B206" s="4" t="s">
        <v>10</v>
      </c>
      <c r="C206" s="5" t="s">
        <v>468</v>
      </c>
      <c r="D206" s="6" t="s">
        <v>469</v>
      </c>
      <c r="E206" s="3"/>
      <c r="F206" s="3" t="str">
        <f>IFERROR(__xludf.DUMMYFUNCTION("SWITCH(
  TRUE,
  REGEXMATCH(B206,""Brain Academy""),""BAC"",
  REGEXMATCH(B206,""English Academy""),""EAC"",
  """"
)&amp;"" ""&amp;IFERROR(TRIM(INDEX(SPLIT(C206,""-""),2)),C206)"),"BAC Bintaro")</f>
        <v>BAC Bintaro</v>
      </c>
      <c r="G206" s="3" t="str">
        <f>IFERROR(__xludf.DUMMYFUNCTION("TRIM(INDEX(SPLIT(C206,""-""),1))"),"Tangerang Selatan")</f>
        <v>Tangerang Selatan</v>
      </c>
      <c r="H206" s="3" t="str">
        <f>IFERROR(__xludf.DUMMYFUNCTION("TRIM(INDEX(SPLIT(C206,""-""),2))"),"Bintaro")</f>
        <v>Bintaro</v>
      </c>
      <c r="I206" s="4" t="s">
        <v>470</v>
      </c>
      <c r="J206" s="4">
        <v>-6.2732765</v>
      </c>
      <c r="K206" s="4">
        <v>106.7433324</v>
      </c>
    </row>
    <row r="207">
      <c r="A207" s="3">
        <f t="shared" si="1"/>
        <v>206</v>
      </c>
      <c r="B207" s="4" t="s">
        <v>10</v>
      </c>
      <c r="C207" s="5" t="s">
        <v>471</v>
      </c>
      <c r="D207" s="6" t="s">
        <v>472</v>
      </c>
      <c r="E207" s="3"/>
      <c r="F207" s="3" t="str">
        <f>IFERROR(__xludf.DUMMYFUNCTION("SWITCH(
  TRUE,
  REGEXMATCH(B207,""Brain Academy""),""BAC"",
  REGEXMATCH(B207,""English Academy""),""EAC"",
  """"
)&amp;"" ""&amp;IFERROR(TRIM(INDEX(SPLIT(C207,""-""),2)),C207)"),"BAC Patuan Nagari")</f>
        <v>BAC Patuan Nagari</v>
      </c>
      <c r="G207" s="3" t="str">
        <f>IFERROR(__xludf.DUMMYFUNCTION("TRIM(INDEX(SPLIT(C207,""-""),1))"),"Balige")</f>
        <v>Balige</v>
      </c>
      <c r="H207" s="3" t="str">
        <f>IFERROR(__xludf.DUMMYFUNCTION("TRIM(INDEX(SPLIT(C207,""-""),2))"),"Patuan Nagari")</f>
        <v>Patuan Nagari</v>
      </c>
      <c r="I207" s="3"/>
      <c r="J207" s="7">
        <v>2.3301232</v>
      </c>
      <c r="K207" s="7">
        <v>99.0553997</v>
      </c>
    </row>
    <row r="208">
      <c r="A208" s="3">
        <f t="shared" si="1"/>
        <v>207</v>
      </c>
      <c r="B208" s="4" t="s">
        <v>10</v>
      </c>
      <c r="C208" s="5" t="s">
        <v>473</v>
      </c>
      <c r="D208" s="6" t="s">
        <v>474</v>
      </c>
      <c r="E208" s="3"/>
      <c r="F208" s="3" t="str">
        <f>IFERROR(__xludf.DUMMYFUNCTION("SWITCH(
  TRUE,
  REGEXMATCH(B208,""Brain Academy""),""BAC"",
  REGEXMATCH(B208,""English Academy""),""EAC"",
  """"
)&amp;"" ""&amp;IFERROR(TRIM(INDEX(SPLIT(C208,""-""),2)),C208)"),"BAC Sudirman")</f>
        <v>BAC Sudirman</v>
      </c>
      <c r="G208" s="3" t="str">
        <f>IFERROR(__xludf.DUMMYFUNCTION("TRIM(INDEX(SPLIT(C208,""-""),1))"),"Tebing Tinggi")</f>
        <v>Tebing Tinggi</v>
      </c>
      <c r="H208" s="3" t="str">
        <f>IFERROR(__xludf.DUMMYFUNCTION("TRIM(INDEX(SPLIT(C208,""-""),2))"),"Sudirman")</f>
        <v>Sudirman</v>
      </c>
      <c r="I208" s="3"/>
      <c r="J208" s="7">
        <v>3.3429252</v>
      </c>
      <c r="K208" s="7">
        <v>99.1656907</v>
      </c>
    </row>
    <row r="209">
      <c r="A209" s="3">
        <f t="shared" si="1"/>
        <v>208</v>
      </c>
      <c r="B209" s="4" t="s">
        <v>10</v>
      </c>
      <c r="C209" s="5" t="s">
        <v>475</v>
      </c>
      <c r="D209" s="6" t="s">
        <v>476</v>
      </c>
      <c r="E209" s="3"/>
      <c r="F209" s="3" t="str">
        <f>IFERROR(__xludf.DUMMYFUNCTION("SWITCH(
  TRUE,
  REGEXMATCH(B209,""Brain Academy""),""BAC"",
  REGEXMATCH(B209,""English Academy""),""EAC"",
  """"
)&amp;"" ""&amp;IFERROR(TRIM(INDEX(SPLIT(C209,""-""),2)),C209)"),"BAC Letkol Isdiman")</f>
        <v>BAC Letkol Isdiman</v>
      </c>
      <c r="G209" s="3" t="str">
        <f>IFERROR(__xludf.DUMMYFUNCTION("TRIM(INDEX(SPLIT(C209,""-""),1))"),"Purbalingga")</f>
        <v>Purbalingga</v>
      </c>
      <c r="H209" s="3" t="str">
        <f>IFERROR(__xludf.DUMMYFUNCTION("TRIM(INDEX(SPLIT(C209,""-""),2))"),"Letkol Isdiman")</f>
        <v>Letkol Isdiman</v>
      </c>
      <c r="I209" s="3"/>
      <c r="J209" s="7">
        <v>-7.3937326</v>
      </c>
      <c r="K209" s="7">
        <v>109.372953</v>
      </c>
    </row>
    <row r="210">
      <c r="A210" s="3">
        <f t="shared" si="1"/>
        <v>209</v>
      </c>
      <c r="B210" s="4" t="s">
        <v>10</v>
      </c>
      <c r="C210" s="5" t="s">
        <v>477</v>
      </c>
      <c r="D210" s="6" t="s">
        <v>478</v>
      </c>
      <c r="E210" s="3"/>
      <c r="F210" s="3" t="str">
        <f>IFERROR(__xludf.DUMMYFUNCTION("SWITCH(
  TRUE,
  REGEXMATCH(B210,""Brain Academy""),""BAC"",
  REGEXMATCH(B210,""English Academy""),""EAC"",
  """"
)&amp;"" ""&amp;IFERROR(TRIM(INDEX(SPLIT(C210,""-""),2)),C210)"),"BAC Serengan")</f>
        <v>BAC Serengan</v>
      </c>
      <c r="G210" s="3" t="str">
        <f>IFERROR(__xludf.DUMMYFUNCTION("TRIM(INDEX(SPLIT(C210,""-""),1))"),"Solo")</f>
        <v>Solo</v>
      </c>
      <c r="H210" s="3" t="str">
        <f>IFERROR(__xludf.DUMMYFUNCTION("TRIM(INDEX(SPLIT(C210,""-""),2))"),"Serengan")</f>
        <v>Serengan</v>
      </c>
      <c r="I210" s="3"/>
      <c r="J210" s="7">
        <v>-7.5752216</v>
      </c>
      <c r="K210" s="7">
        <v>110.8119367</v>
      </c>
    </row>
    <row r="211">
      <c r="A211" s="3">
        <f t="shared" si="1"/>
        <v>210</v>
      </c>
      <c r="B211" s="4" t="s">
        <v>10</v>
      </c>
      <c r="C211" s="5" t="s">
        <v>479</v>
      </c>
      <c r="D211" s="6" t="s">
        <v>480</v>
      </c>
      <c r="E211" s="3"/>
      <c r="F211" s="3" t="str">
        <f>IFERROR(__xludf.DUMMYFUNCTION("SWITCH(
  TRUE,
  REGEXMATCH(B211,""Brain Academy""),""BAC"",
  REGEXMATCH(B211,""English Academy""),""EAC"",
  """"
)&amp;"" ""&amp;IFERROR(TRIM(INDEX(SPLIT(C211,""-""),2)),C211)"),"BAC Airlangga")</f>
        <v>BAC Airlangga</v>
      </c>
      <c r="G211" s="3" t="str">
        <f>IFERROR(__xludf.DUMMYFUNCTION("TRIM(INDEX(SPLIT(C211,""-""),1))"),"Mojokerto")</f>
        <v>Mojokerto</v>
      </c>
      <c r="H211" s="3" t="str">
        <f>IFERROR(__xludf.DUMMYFUNCTION("TRIM(INDEX(SPLIT(C211,""-""),2))"),"Airlangga")</f>
        <v>Airlangga</v>
      </c>
      <c r="I211" s="3"/>
      <c r="J211" s="7">
        <v>-7.524797699999999</v>
      </c>
      <c r="K211" s="7">
        <v>112.5564174</v>
      </c>
    </row>
    <row r="212">
      <c r="A212" s="3">
        <f t="shared" si="1"/>
        <v>211</v>
      </c>
      <c r="B212" s="4" t="s">
        <v>10</v>
      </c>
      <c r="C212" s="5" t="s">
        <v>481</v>
      </c>
      <c r="D212" s="6" t="s">
        <v>482</v>
      </c>
      <c r="E212" s="3"/>
      <c r="F212" s="3" t="str">
        <f>IFERROR(__xludf.DUMMYFUNCTION("SWITCH(
  TRUE,
  REGEXMATCH(B212,""Brain Academy""),""BAC"",
  REGEXMATCH(B212,""English Academy""),""EAC"",
  """"
)&amp;"" ""&amp;IFERROR(TRIM(INDEX(SPLIT(C212,""-""),2)),C212)"),"BAC Citra Garden City")</f>
        <v>BAC Citra Garden City</v>
      </c>
      <c r="G212" s="3" t="str">
        <f>IFERROR(__xludf.DUMMYFUNCTION("TRIM(INDEX(SPLIT(C212,""-""),1))"),"Jakarta Barat")</f>
        <v>Jakarta Barat</v>
      </c>
      <c r="H212" s="3" t="str">
        <f>IFERROR(__xludf.DUMMYFUNCTION("TRIM(INDEX(SPLIT(C212,""-""),2))"),"Citra Garden City")</f>
        <v>Citra Garden City</v>
      </c>
      <c r="I212" s="4" t="s">
        <v>483</v>
      </c>
      <c r="J212" s="4">
        <v>-6.1251177</v>
      </c>
      <c r="K212" s="4">
        <v>106.7112099</v>
      </c>
    </row>
    <row r="213">
      <c r="A213" s="3">
        <f t="shared" si="1"/>
        <v>212</v>
      </c>
      <c r="B213" s="4" t="s">
        <v>10</v>
      </c>
      <c r="C213" s="5" t="s">
        <v>484</v>
      </c>
      <c r="D213" s="6" t="s">
        <v>485</v>
      </c>
      <c r="E213" s="3"/>
      <c r="F213" s="3" t="str">
        <f>IFERROR(__xludf.DUMMYFUNCTION("SWITCH(
  TRUE,
  REGEXMATCH(B213,""Brain Academy""),""BAC"",
  REGEXMATCH(B213,""English Academy""),""EAC"",
  """"
)&amp;"" ""&amp;IFERROR(TRIM(INDEX(SPLIT(C213,""-""),2)),C213)"),"BAC Megantara")</f>
        <v>BAC Megantara</v>
      </c>
      <c r="G213" s="3" t="str">
        <f>IFERROR(__xludf.DUMMYFUNCTION("TRIM(INDEX(SPLIT(C213,""-""),1))"),"Nganjuk")</f>
        <v>Nganjuk</v>
      </c>
      <c r="H213" s="3" t="str">
        <f>IFERROR(__xludf.DUMMYFUNCTION("TRIM(INDEX(SPLIT(C213,""-""),2))"),"Megantara")</f>
        <v>Megantara</v>
      </c>
      <c r="I213" s="3"/>
      <c r="J213" s="7">
        <v>-7.605077499999998</v>
      </c>
      <c r="K213" s="7">
        <v>111.9052214</v>
      </c>
    </row>
    <row r="214">
      <c r="A214" s="3">
        <f t="shared" si="1"/>
        <v>213</v>
      </c>
      <c r="B214" s="4" t="s">
        <v>10</v>
      </c>
      <c r="C214" s="5" t="s">
        <v>486</v>
      </c>
      <c r="D214" s="6" t="s">
        <v>487</v>
      </c>
      <c r="E214" s="3"/>
      <c r="F214" s="3" t="str">
        <f>IFERROR(__xludf.DUMMYFUNCTION("SWITCH(
  TRUE,
  REGEXMATCH(B214,""Brain Academy""),""BAC"",
  REGEXMATCH(B214,""English Academy""),""EAC"",
  """"
)&amp;"" ""&amp;IFERROR(TRIM(INDEX(SPLIT(C214,""-""),2)),C214)"),"BAC Daan Mogot")</f>
        <v>BAC Daan Mogot</v>
      </c>
      <c r="G214" s="3" t="str">
        <f>IFERROR(__xludf.DUMMYFUNCTION("TRIM(INDEX(SPLIT(C214,""-""),1))"),"Tangerang")</f>
        <v>Tangerang</v>
      </c>
      <c r="H214" s="3" t="str">
        <f>IFERROR(__xludf.DUMMYFUNCTION("TRIM(INDEX(SPLIT(C214,""-""),2))"),"Daan Mogot")</f>
        <v>Daan Mogot</v>
      </c>
      <c r="I214" s="3"/>
      <c r="J214" s="7">
        <v>-6.177908899999999</v>
      </c>
      <c r="K214" s="7">
        <v>106.6337125</v>
      </c>
    </row>
    <row r="215">
      <c r="A215" s="3">
        <f t="shared" si="1"/>
        <v>214</v>
      </c>
      <c r="B215" s="4" t="s">
        <v>10</v>
      </c>
      <c r="C215" s="5" t="s">
        <v>488</v>
      </c>
      <c r="D215" s="6" t="s">
        <v>489</v>
      </c>
      <c r="E215" s="3"/>
      <c r="F215" s="3" t="str">
        <f>IFERROR(__xludf.DUMMYFUNCTION("SWITCH(
  TRUE,
  REGEXMATCH(B215,""Brain Academy""),""BAC"",
  REGEXMATCH(B215,""English Academy""),""EAC"",
  """"
)&amp;"" ""&amp;IFERROR(TRIM(INDEX(SPLIT(C215,""-""),2)),C215)"),"BAC Jamin Ginting")</f>
        <v>BAC Jamin Ginting</v>
      </c>
      <c r="G215" s="3" t="str">
        <f>IFERROR(__xludf.DUMMYFUNCTION("TRIM(INDEX(SPLIT(C215,""-""),1))"),"Kabanjahe")</f>
        <v>Kabanjahe</v>
      </c>
      <c r="H215" s="3" t="str">
        <f>IFERROR(__xludf.DUMMYFUNCTION("TRIM(INDEX(SPLIT(C215,""-""),2))"),"Jamin Ginting")</f>
        <v>Jamin Ginting</v>
      </c>
      <c r="I215" s="3"/>
      <c r="J215" s="7">
        <v>3.1045486</v>
      </c>
      <c r="K215" s="7">
        <v>98.4962868</v>
      </c>
    </row>
    <row r="216">
      <c r="A216" s="3">
        <f t="shared" si="1"/>
        <v>215</v>
      </c>
      <c r="B216" s="4" t="s">
        <v>10</v>
      </c>
      <c r="C216" s="5" t="s">
        <v>490</v>
      </c>
      <c r="D216" s="6" t="s">
        <v>491</v>
      </c>
      <c r="E216" s="3"/>
      <c r="F216" s="3" t="str">
        <f>IFERROR(__xludf.DUMMYFUNCTION("SWITCH(
  TRUE,
  REGEXMATCH(B216,""Brain Academy""),""BAC"",
  REGEXMATCH(B216,""English Academy""),""EAC"",
  """"
)&amp;"" ""&amp;IFERROR(TRIM(INDEX(SPLIT(C216,""-""),2)),C216)"),"BAC Kraksaan")</f>
        <v>BAC Kraksaan</v>
      </c>
      <c r="G216" s="3" t="str">
        <f>IFERROR(__xludf.DUMMYFUNCTION("TRIM(INDEX(SPLIT(C216,""-""),1))"),"Probolinggo")</f>
        <v>Probolinggo</v>
      </c>
      <c r="H216" s="3" t="str">
        <f>IFERROR(__xludf.DUMMYFUNCTION("TRIM(INDEX(SPLIT(C216,""-""),2))"),"Kraksaan")</f>
        <v>Kraksaan</v>
      </c>
      <c r="I216" s="3"/>
      <c r="J216" s="7">
        <v>-7.762487999999999</v>
      </c>
      <c r="K216" s="7">
        <v>113.417198</v>
      </c>
    </row>
    <row r="217">
      <c r="A217" s="3">
        <f t="shared" si="1"/>
        <v>216</v>
      </c>
      <c r="B217" s="4" t="s">
        <v>10</v>
      </c>
      <c r="C217" s="5" t="s">
        <v>492</v>
      </c>
      <c r="D217" s="6" t="s">
        <v>493</v>
      </c>
      <c r="E217" s="3"/>
      <c r="F217" s="3" t="str">
        <f>IFERROR(__xludf.DUMMYFUNCTION("SWITCH(
  TRUE,
  REGEXMATCH(B217,""Brain Academy""),""BAC"",
  REGEXMATCH(B217,""English Academy""),""EAC"",
  """"
)&amp;"" ""&amp;IFERROR(TRIM(INDEX(SPLIT(C217,""-""),2)),C217)"),"BAC Samuji")</f>
        <v>BAC Samuji</v>
      </c>
      <c r="G217" s="3" t="str">
        <f>IFERROR(__xludf.DUMMYFUNCTION("TRIM(INDEX(SPLIT(C217,""-""),1))"),"Ciamis")</f>
        <v>Ciamis</v>
      </c>
      <c r="H217" s="3" t="str">
        <f>IFERROR(__xludf.DUMMYFUNCTION("TRIM(INDEX(SPLIT(C217,""-""),2))"),"Samuji")</f>
        <v>Samuji</v>
      </c>
      <c r="I217" s="3"/>
      <c r="J217" s="7">
        <v>-7.329422800000001</v>
      </c>
      <c r="K217" s="7">
        <v>108.3592555</v>
      </c>
    </row>
    <row r="218">
      <c r="A218" s="3">
        <f t="shared" si="1"/>
        <v>217</v>
      </c>
      <c r="B218" s="4" t="s">
        <v>10</v>
      </c>
      <c r="C218" s="5" t="s">
        <v>494</v>
      </c>
      <c r="D218" s="6" t="s">
        <v>495</v>
      </c>
      <c r="E218" s="3"/>
      <c r="F218" s="3" t="str">
        <f>IFERROR(__xludf.DUMMYFUNCTION("SWITCH(
  TRUE,
  REGEXMATCH(B218,""Brain Academy""),""BAC"",
  REGEXMATCH(B218,""English Academy""),""EAC"",
  """"
)&amp;"" ""&amp;IFERROR(TRIM(INDEX(SPLIT(C218,""-""),2)),C218)"),"BAC Balaraja")</f>
        <v>BAC Balaraja</v>
      </c>
      <c r="G218" s="3" t="str">
        <f>IFERROR(__xludf.DUMMYFUNCTION("TRIM(INDEX(SPLIT(C218,""-""),1))"),"Tangerang")</f>
        <v>Tangerang</v>
      </c>
      <c r="H218" s="3" t="str">
        <f>IFERROR(__xludf.DUMMYFUNCTION("TRIM(INDEX(SPLIT(C218,""-""),2))"),"Balaraja")</f>
        <v>Balaraja</v>
      </c>
      <c r="I218" s="3"/>
      <c r="J218" s="7">
        <v>-6.224222</v>
      </c>
      <c r="K218" s="7">
        <v>106.548157</v>
      </c>
    </row>
    <row r="219">
      <c r="A219" s="3">
        <f t="shared" si="1"/>
        <v>218</v>
      </c>
      <c r="B219" s="4" t="s">
        <v>10</v>
      </c>
      <c r="C219" s="5" t="s">
        <v>496</v>
      </c>
      <c r="D219" s="6" t="s">
        <v>497</v>
      </c>
      <c r="E219" s="3"/>
      <c r="F219" s="3" t="str">
        <f>IFERROR(__xludf.DUMMYFUNCTION("SWITCH(
  TRUE,
  REGEXMATCH(B219,""Brain Academy""),""BAC"",
  REGEXMATCH(B219,""English Academy""),""EAC"",
  """"
)&amp;"" ""&amp;IFERROR(TRIM(INDEX(SPLIT(C219,""-""),2)),C219)"),"BAC Purwodadi")</f>
        <v>BAC Purwodadi</v>
      </c>
      <c r="G219" s="3" t="str">
        <f>IFERROR(__xludf.DUMMYFUNCTION("TRIM(INDEX(SPLIT(C219,""-""),1))"),"Grobogan")</f>
        <v>Grobogan</v>
      </c>
      <c r="H219" s="3" t="str">
        <f>IFERROR(__xludf.DUMMYFUNCTION("TRIM(INDEX(SPLIT(C219,""-""),2))"),"Purwodadi")</f>
        <v>Purwodadi</v>
      </c>
      <c r="I219" s="3"/>
      <c r="J219" s="7">
        <v>-7.099780200000001</v>
      </c>
      <c r="K219" s="7">
        <v>110.9130154</v>
      </c>
    </row>
    <row r="220">
      <c r="A220" s="3">
        <f t="shared" si="1"/>
        <v>219</v>
      </c>
      <c r="B220" s="4" t="s">
        <v>10</v>
      </c>
      <c r="C220" s="5" t="s">
        <v>498</v>
      </c>
      <c r="D220" s="6" t="s">
        <v>499</v>
      </c>
      <c r="E220" s="3"/>
      <c r="F220" s="3" t="str">
        <f>IFERROR(__xludf.DUMMYFUNCTION("SWITCH(
  TRUE,
  REGEXMATCH(B220,""Brain Academy""),""BAC"",
  REGEXMATCH(B220,""English Academy""),""EAC"",
  """"
)&amp;"" ""&amp;IFERROR(TRIM(INDEX(SPLIT(C220,""-""),2)),C220)"),"BAC Siliwangi")</f>
        <v>BAC Siliwangi</v>
      </c>
      <c r="G220" s="3" t="str">
        <f>IFERROR(__xludf.DUMMYFUNCTION("TRIM(INDEX(SPLIT(C220,""-""),1))"),"Depok")</f>
        <v>Depok</v>
      </c>
      <c r="H220" s="4" t="s">
        <v>500</v>
      </c>
      <c r="I220" s="4" t="s">
        <v>501</v>
      </c>
      <c r="J220" s="4">
        <v>-6.399651599999999</v>
      </c>
      <c r="K220" s="4">
        <v>106.8238569</v>
      </c>
    </row>
    <row r="221">
      <c r="A221" s="3">
        <f t="shared" si="1"/>
        <v>220</v>
      </c>
      <c r="B221" s="4" t="s">
        <v>10</v>
      </c>
      <c r="C221" s="5" t="s">
        <v>502</v>
      </c>
      <c r="D221" s="6" t="s">
        <v>503</v>
      </c>
      <c r="E221" s="3"/>
      <c r="F221" s="3" t="str">
        <f>IFERROR(__xludf.DUMMYFUNCTION("SWITCH(
  TRUE,
  REGEXMATCH(B221,""Brain Academy""),""BAC"",
  REGEXMATCH(B221,""English Academy""),""EAC"",
  """"
)&amp;"" ""&amp;IFERROR(TRIM(INDEX(SPLIT(C221,""-""),2)),C221)"),"BAC Hangtuah")</f>
        <v>BAC Hangtuah</v>
      </c>
      <c r="G221" s="3" t="str">
        <f>IFERROR(__xludf.DUMMYFUNCTION("TRIM(INDEX(SPLIT(C221,""-""),1))"),"Duri")</f>
        <v>Duri</v>
      </c>
      <c r="H221" s="3" t="str">
        <f>IFERROR(__xludf.DUMMYFUNCTION("TRIM(INDEX(SPLIT(C221,""-""),2))"),"Hangtuah")</f>
        <v>Hangtuah</v>
      </c>
      <c r="I221" s="3"/>
      <c r="J221" s="7">
        <v>1.2710276</v>
      </c>
      <c r="K221" s="7">
        <v>101.1875858</v>
      </c>
    </row>
    <row r="222">
      <c r="A222" s="3">
        <f t="shared" si="1"/>
        <v>221</v>
      </c>
      <c r="B222" s="4" t="s">
        <v>10</v>
      </c>
      <c r="C222" s="5" t="s">
        <v>504</v>
      </c>
      <c r="D222" s="6" t="s">
        <v>505</v>
      </c>
      <c r="E222" s="3"/>
      <c r="F222" s="3" t="str">
        <f>IFERROR(__xludf.DUMMYFUNCTION("SWITCH(
  TRUE,
  REGEXMATCH(B222,""Brain Academy""),""BAC"",
  REGEXMATCH(B222,""English Academy""),""EAC"",
  """"
)&amp;"" ""&amp;IFERROR(TRIM(INDEX(SPLIT(C222,""-""),2)),C222)"),"BAC Baleendah")</f>
        <v>BAC Baleendah</v>
      </c>
      <c r="G222" s="3" t="str">
        <f>IFERROR(__xludf.DUMMYFUNCTION("TRIM(INDEX(SPLIT(C222,""-""),1))"),"Bandung")</f>
        <v>Bandung</v>
      </c>
      <c r="H222" s="3" t="str">
        <f>IFERROR(__xludf.DUMMYFUNCTION("TRIM(INDEX(SPLIT(C222,""-""),2))"),"Baleendah")</f>
        <v>Baleendah</v>
      </c>
      <c r="I222" s="3"/>
      <c r="J222" s="7">
        <v>-7.006335099999999</v>
      </c>
      <c r="K222" s="7">
        <v>107.6138609</v>
      </c>
    </row>
    <row r="223">
      <c r="A223" s="3">
        <f t="shared" si="1"/>
        <v>222</v>
      </c>
      <c r="B223" s="4" t="s">
        <v>10</v>
      </c>
      <c r="C223" s="5" t="s">
        <v>506</v>
      </c>
      <c r="D223" s="6" t="s">
        <v>507</v>
      </c>
      <c r="E223" s="3"/>
      <c r="F223" s="3" t="str">
        <f>IFERROR(__xludf.DUMMYFUNCTION("SWITCH(
  TRUE,
  REGEXMATCH(B223,""Brain Academy""),""BAC"",
  REGEXMATCH(B223,""English Academy""),""EAC"",
  """"
)&amp;"" ""&amp;IFERROR(TRIM(INDEX(SPLIT(C223,""-""),2)),C223)"),"BAC Wahid Hasyim")</f>
        <v>BAC Wahid Hasyim</v>
      </c>
      <c r="G223" s="3" t="str">
        <f>IFERROR(__xludf.DUMMYFUNCTION("TRIM(INDEX(SPLIT(C223,""-""),1))"),"Pontianak")</f>
        <v>Pontianak</v>
      </c>
      <c r="H223" s="3" t="str">
        <f>IFERROR(__xludf.DUMMYFUNCTION("TRIM(INDEX(SPLIT(C223,""-""),2))"),"Wahid Hasyim")</f>
        <v>Wahid Hasyim</v>
      </c>
      <c r="I223" s="3"/>
      <c r="J223" s="7">
        <v>-0.0204102</v>
      </c>
      <c r="K223" s="7">
        <v>109.3262139</v>
      </c>
    </row>
    <row r="224">
      <c r="A224" s="3">
        <f t="shared" si="1"/>
        <v>223</v>
      </c>
      <c r="B224" s="4" t="s">
        <v>10</v>
      </c>
      <c r="C224" s="5" t="s">
        <v>508</v>
      </c>
      <c r="D224" s="6" t="s">
        <v>509</v>
      </c>
      <c r="E224" s="3"/>
      <c r="F224" s="3" t="str">
        <f>IFERROR(__xludf.DUMMYFUNCTION("SWITCH(
  TRUE,
  REGEXMATCH(B224,""Brain Academy""),""BAC"",
  REGEXMATCH(B224,""English Academy""),""EAC"",
  """"
)&amp;"" ""&amp;IFERROR(TRIM(INDEX(SPLIT(C224,""-""),2)),C224)"),"BAC Medari")</f>
        <v>BAC Medari</v>
      </c>
      <c r="G224" s="3" t="str">
        <f>IFERROR(__xludf.DUMMYFUNCTION("TRIM(INDEX(SPLIT(C224,""-""),1))"),"Sleman")</f>
        <v>Sleman</v>
      </c>
      <c r="H224" s="3" t="str">
        <f>IFERROR(__xludf.DUMMYFUNCTION("TRIM(INDEX(SPLIT(C224,""-""),2))"),"Medari")</f>
        <v>Medari</v>
      </c>
      <c r="I224" s="3"/>
      <c r="J224" s="7">
        <v>-7.6856595</v>
      </c>
      <c r="K224" s="7">
        <v>110.3395472</v>
      </c>
    </row>
    <row r="225">
      <c r="A225" s="3">
        <f t="shared" si="1"/>
        <v>224</v>
      </c>
      <c r="B225" s="4" t="s">
        <v>10</v>
      </c>
      <c r="C225" s="5" t="s">
        <v>510</v>
      </c>
      <c r="D225" s="6" t="s">
        <v>511</v>
      </c>
      <c r="E225" s="3"/>
      <c r="F225" s="3" t="str">
        <f>IFERROR(__xludf.DUMMYFUNCTION("SWITCH(
  TRUE,
  REGEXMATCH(B225,""Brain Academy""),""BAC"",
  REGEXMATCH(B225,""English Academy""),""EAC"",
  """"
)&amp;"" ""&amp;IFERROR(TRIM(INDEX(SPLIT(C225,""-""),2)),C225)"),"BAC Sesetan")</f>
        <v>BAC Sesetan</v>
      </c>
      <c r="G225" s="3" t="str">
        <f>IFERROR(__xludf.DUMMYFUNCTION("TRIM(INDEX(SPLIT(C225,""-""),1))"),"Denpasar")</f>
        <v>Denpasar</v>
      </c>
      <c r="H225" s="3" t="str">
        <f>IFERROR(__xludf.DUMMYFUNCTION("TRIM(INDEX(SPLIT(C225,""-""),2))"),"Sesetan")</f>
        <v>Sesetan</v>
      </c>
      <c r="I225" s="3"/>
      <c r="J225" s="7">
        <v>-8.710871899999999</v>
      </c>
      <c r="K225" s="7">
        <v>115.2166465</v>
      </c>
    </row>
    <row r="226">
      <c r="A226" s="3">
        <f t="shared" si="1"/>
        <v>225</v>
      </c>
      <c r="B226" s="4" t="s">
        <v>10</v>
      </c>
      <c r="C226" s="5" t="s">
        <v>512</v>
      </c>
      <c r="D226" s="6" t="s">
        <v>513</v>
      </c>
      <c r="E226" s="3"/>
      <c r="F226" s="3" t="str">
        <f>IFERROR(__xludf.DUMMYFUNCTION("SWITCH(
  TRUE,
  REGEXMATCH(B226,""Brain Academy""),""BAC"",
  REGEXMATCH(B226,""English Academy""),""EAC"",
  """"
)&amp;"" ""&amp;IFERROR(TRIM(INDEX(SPLIT(C226,""-""),2)),C226)"),"BAC KH Mustain")</f>
        <v>BAC KH Mustain</v>
      </c>
      <c r="G226" s="3" t="str">
        <f>IFERROR(__xludf.DUMMYFUNCTION("TRIM(INDEX(SPLIT(C226,""-""),1))"),"Tuban")</f>
        <v>Tuban</v>
      </c>
      <c r="H226" s="3" t="str">
        <f>IFERROR(__xludf.DUMMYFUNCTION("TRIM(INDEX(SPLIT(C226,""-""),2))"),"KH Mustain")</f>
        <v>KH Mustain</v>
      </c>
      <c r="I226" s="3"/>
      <c r="J226" s="7">
        <v>-6.8986223</v>
      </c>
      <c r="K226" s="7">
        <v>112.0636413</v>
      </c>
    </row>
    <row r="227">
      <c r="A227" s="3">
        <f t="shared" si="1"/>
        <v>226</v>
      </c>
      <c r="B227" s="4" t="s">
        <v>10</v>
      </c>
      <c r="C227" s="5" t="s">
        <v>514</v>
      </c>
      <c r="D227" s="6" t="s">
        <v>515</v>
      </c>
      <c r="E227" s="3"/>
      <c r="F227" s="3" t="str">
        <f>IFERROR(__xludf.DUMMYFUNCTION("SWITCH(
  TRUE,
  REGEXMATCH(B227,""Brain Academy""),""BAC"",
  REGEXMATCH(B227,""English Academy""),""EAC"",
  """"
)&amp;"" ""&amp;IFERROR(TRIM(INDEX(SPLIT(C227,""-""),2)),C227)"),"BAC Veteran")</f>
        <v>BAC Veteran</v>
      </c>
      <c r="G227" s="3" t="str">
        <f>IFERROR(__xludf.DUMMYFUNCTION("TRIM(INDEX(SPLIT(C227,""-""),1))"),"Lamongan")</f>
        <v>Lamongan</v>
      </c>
      <c r="H227" s="3" t="str">
        <f>IFERROR(__xludf.DUMMYFUNCTION("TRIM(INDEX(SPLIT(C227,""-""),2))"),"Veteran")</f>
        <v>Veteran</v>
      </c>
      <c r="I227" s="3"/>
      <c r="J227" s="7">
        <v>-7.113735699999999</v>
      </c>
      <c r="K227" s="7">
        <v>112.4231865</v>
      </c>
    </row>
    <row r="228">
      <c r="A228" s="3">
        <f t="shared" si="1"/>
        <v>227</v>
      </c>
      <c r="B228" s="4" t="s">
        <v>10</v>
      </c>
      <c r="C228" s="5" t="s">
        <v>516</v>
      </c>
      <c r="D228" s="6" t="s">
        <v>517</v>
      </c>
      <c r="E228" s="3"/>
      <c r="F228" s="3" t="str">
        <f>IFERROR(__xludf.DUMMYFUNCTION("SWITCH(
  TRUE,
  REGEXMATCH(B228,""Brain Academy""),""BAC"",
  REGEXMATCH(B228,""English Academy""),""EAC"",
  """"
)&amp;"" ""&amp;IFERROR(TRIM(INDEX(SPLIT(C228,""-""),2)),C228)"),"BAC Tentara Pelajar")</f>
        <v>BAC Tentara Pelajar</v>
      </c>
      <c r="G228" s="3" t="str">
        <f>IFERROR(__xludf.DUMMYFUNCTION("TRIM(INDEX(SPLIT(C228,""-""),1))"),"Purworejo")</f>
        <v>Purworejo</v>
      </c>
      <c r="H228" s="3" t="str">
        <f>IFERROR(__xludf.DUMMYFUNCTION("TRIM(INDEX(SPLIT(C228,""-""),2))"),"Tentara Pelajar")</f>
        <v>Tentara Pelajar</v>
      </c>
      <c r="I228" s="3"/>
      <c r="J228" s="7">
        <v>-7.720770300000001</v>
      </c>
      <c r="K228" s="7">
        <v>109.9938411</v>
      </c>
    </row>
    <row r="229">
      <c r="A229" s="3">
        <f t="shared" si="1"/>
        <v>228</v>
      </c>
      <c r="B229" s="4" t="s">
        <v>10</v>
      </c>
      <c r="C229" s="5" t="s">
        <v>518</v>
      </c>
      <c r="D229" s="6" t="s">
        <v>519</v>
      </c>
      <c r="E229" s="3"/>
      <c r="F229" s="3" t="str">
        <f>IFERROR(__xludf.DUMMYFUNCTION("SWITCH(
  TRUE,
  REGEXMATCH(B229,""Brain Academy""),""BAC"",
  REGEXMATCH(B229,""English Academy""),""EAC"",
  """"
)&amp;"" ""&amp;IFERROR(TRIM(INDEX(SPLIT(C229,""-""),2)),C229)"),"BAC Kota Juang")</f>
        <v>BAC Kota Juang</v>
      </c>
      <c r="G229" s="3" t="str">
        <f>IFERROR(__xludf.DUMMYFUNCTION("TRIM(INDEX(SPLIT(C229,""-""),1))"),"Bireuen")</f>
        <v>Bireuen</v>
      </c>
      <c r="H229" s="3" t="str">
        <f>IFERROR(__xludf.DUMMYFUNCTION("TRIM(INDEX(SPLIT(C229,""-""),2))"),"Kota Juang")</f>
        <v>Kota Juang</v>
      </c>
      <c r="I229" s="3"/>
      <c r="J229" s="7">
        <v>5.2065459</v>
      </c>
      <c r="K229" s="7">
        <v>96.7270238</v>
      </c>
    </row>
    <row r="230">
      <c r="A230" s="3">
        <f t="shared" si="1"/>
        <v>229</v>
      </c>
      <c r="B230" s="4" t="s">
        <v>10</v>
      </c>
      <c r="C230" s="5" t="s">
        <v>520</v>
      </c>
      <c r="D230" s="6" t="s">
        <v>521</v>
      </c>
      <c r="E230" s="3"/>
      <c r="F230" s="3" t="str">
        <f>IFERROR(__xludf.DUMMYFUNCTION("SWITCH(
  TRUE,
  REGEXMATCH(B230,""Brain Academy""),""BAC"",
  REGEXMATCH(B230,""English Academy""),""EAC"",
  """"
)&amp;"" ""&amp;IFERROR(TRIM(INDEX(SPLIT(C230,""-""),2)),C230)"),"BAC Ahmad Yani")</f>
        <v>BAC Ahmad Yani</v>
      </c>
      <c r="G230" s="3" t="str">
        <f>IFERROR(__xludf.DUMMYFUNCTION("TRIM(INDEX(SPLIT(C230,""-""),1))"),"Langsa")</f>
        <v>Langsa</v>
      </c>
      <c r="H230" s="3" t="str">
        <f>IFERROR(__xludf.DUMMYFUNCTION("TRIM(INDEX(SPLIT(C230,""-""),2))"),"Ahmad Yani")</f>
        <v>Ahmad Yani</v>
      </c>
      <c r="I230" s="3"/>
      <c r="J230" s="7">
        <v>4.4920246</v>
      </c>
      <c r="K230" s="7">
        <v>97.955408</v>
      </c>
    </row>
    <row r="231">
      <c r="A231" s="3">
        <f t="shared" si="1"/>
        <v>230</v>
      </c>
      <c r="B231" s="4" t="s">
        <v>10</v>
      </c>
      <c r="C231" s="5" t="s">
        <v>522</v>
      </c>
      <c r="D231" s="6" t="s">
        <v>523</v>
      </c>
      <c r="E231" s="3"/>
      <c r="F231" s="3" t="str">
        <f>IFERROR(__xludf.DUMMYFUNCTION("SWITCH(
  TRUE,
  REGEXMATCH(B231,""Brain Academy""),""BAC"",
  REGEXMATCH(B231,""English Academy""),""EAC"",
  """"
)&amp;"" ""&amp;IFERROR(TRIM(INDEX(SPLIT(C231,""-""),2)),C231)"),"BAC Teuku Umar")</f>
        <v>BAC Teuku Umar</v>
      </c>
      <c r="G231" s="3" t="str">
        <f>IFERROR(__xludf.DUMMYFUNCTION("TRIM(INDEX(SPLIT(C231,""-""),1))"),"Sabang")</f>
        <v>Sabang</v>
      </c>
      <c r="H231" s="3" t="str">
        <f>IFERROR(__xludf.DUMMYFUNCTION("TRIM(INDEX(SPLIT(C231,""-""),2))"),"Teuku Umar")</f>
        <v>Teuku Umar</v>
      </c>
      <c r="I231" s="3"/>
      <c r="J231" s="7">
        <v>5.8918838</v>
      </c>
      <c r="K231" s="7">
        <v>95.3189667</v>
      </c>
    </row>
    <row r="232">
      <c r="A232" s="3">
        <f t="shared" si="1"/>
        <v>231</v>
      </c>
      <c r="B232" s="4" t="s">
        <v>10</v>
      </c>
      <c r="C232" s="5" t="s">
        <v>524</v>
      </c>
      <c r="D232" s="6" t="s">
        <v>525</v>
      </c>
      <c r="E232" s="3"/>
      <c r="F232" s="3" t="str">
        <f>IFERROR(__xludf.DUMMYFUNCTION("SWITCH(
  TRUE,
  REGEXMATCH(B232,""Brain Academy""),""BAC"",
  REGEXMATCH(B232,""English Academy""),""EAC"",
  """"
)&amp;"" ""&amp;IFERROR(TRIM(INDEX(SPLIT(C232,""-""),2)),C232)"),"BAC Sudirman")</f>
        <v>BAC Sudirman</v>
      </c>
      <c r="G232" s="3" t="str">
        <f>IFERROR(__xludf.DUMMYFUNCTION("TRIM(INDEX(SPLIT(C232,""-""),1))"),"Padang Sidempuan")</f>
        <v>Padang Sidempuan</v>
      </c>
      <c r="H232" s="3" t="str">
        <f>IFERROR(__xludf.DUMMYFUNCTION("TRIM(INDEX(SPLIT(C232,""-""),2))"),"Sudirman")</f>
        <v>Sudirman</v>
      </c>
      <c r="I232" s="3"/>
      <c r="J232" s="7">
        <v>1.3813773</v>
      </c>
      <c r="K232" s="7">
        <v>99.26770929999999</v>
      </c>
    </row>
    <row r="233">
      <c r="A233" s="3">
        <f t="shared" si="1"/>
        <v>232</v>
      </c>
      <c r="B233" s="4" t="s">
        <v>10</v>
      </c>
      <c r="C233" s="5" t="s">
        <v>526</v>
      </c>
      <c r="D233" s="6" t="s">
        <v>527</v>
      </c>
      <c r="E233" s="3"/>
      <c r="F233" s="3" t="str">
        <f>IFERROR(__xludf.DUMMYFUNCTION("SWITCH(
  TRUE,
  REGEXMATCH(B233,""Brain Academy""),""BAC"",
  REGEXMATCH(B233,""English Academy""),""EAC"",
  """"
)&amp;"" ""&amp;IFERROR(TRIM(INDEX(SPLIT(C233,""-""),2)),C233)"),"BAC Sisingamangaraja")</f>
        <v>BAC Sisingamangaraja</v>
      </c>
      <c r="G233" s="3" t="str">
        <f>IFERROR(__xludf.DUMMYFUNCTION("TRIM(INDEX(SPLIT(C233,""-""),1))"),"Sibolga")</f>
        <v>Sibolga</v>
      </c>
      <c r="H233" s="3" t="str">
        <f>IFERROR(__xludf.DUMMYFUNCTION("TRIM(INDEX(SPLIT(C233,""-""),2))"),"Sisingamangaraja")</f>
        <v>Sisingamangaraja</v>
      </c>
      <c r="I233" s="3"/>
      <c r="J233" s="7">
        <v>1.7375086</v>
      </c>
      <c r="K233" s="7">
        <v>98.7864546</v>
      </c>
    </row>
    <row r="234">
      <c r="A234" s="3">
        <f t="shared" si="1"/>
        <v>233</v>
      </c>
      <c r="B234" s="4" t="s">
        <v>10</v>
      </c>
      <c r="C234" s="5" t="s">
        <v>528</v>
      </c>
      <c r="D234" s="6" t="s">
        <v>529</v>
      </c>
      <c r="E234" s="3"/>
      <c r="F234" s="3" t="str">
        <f>IFERROR(__xludf.DUMMYFUNCTION("SWITCH(
  TRUE,
  REGEXMATCH(B234,""Brain Academy""),""BAC"",
  REGEXMATCH(B234,""English Academy""),""EAC"",
  """"
)&amp;"" ""&amp;IFERROR(TRIM(INDEX(SPLIT(C234,""-""),2)),C234)"),"BAC DI Panjaitan")</f>
        <v>BAC DI Panjaitan</v>
      </c>
      <c r="G234" s="3" t="str">
        <f>IFERROR(__xludf.DUMMYFUNCTION("TRIM(INDEX(SPLIT(C234,""-""),1))"),"Tarutung")</f>
        <v>Tarutung</v>
      </c>
      <c r="H234" s="3" t="str">
        <f>IFERROR(__xludf.DUMMYFUNCTION("TRIM(INDEX(SPLIT(C234,""-""),2))"),"DI Panjaitan")</f>
        <v>DI Panjaitan</v>
      </c>
      <c r="I234" s="3"/>
      <c r="J234" s="7">
        <v>2.0220005</v>
      </c>
      <c r="K234" s="7">
        <v>98.9659647</v>
      </c>
    </row>
    <row r="235">
      <c r="A235" s="3">
        <f t="shared" si="1"/>
        <v>234</v>
      </c>
      <c r="B235" s="4" t="s">
        <v>10</v>
      </c>
      <c r="C235" s="5" t="s">
        <v>530</v>
      </c>
      <c r="D235" s="6" t="s">
        <v>531</v>
      </c>
      <c r="E235" s="3"/>
      <c r="F235" s="3" t="str">
        <f>IFERROR(__xludf.DUMMYFUNCTION("SWITCH(
  TRUE,
  REGEXMATCH(B235,""Brain Academy""),""BAC"",
  REGEXMATCH(B235,""English Academy""),""EAC"",
  """"
)&amp;"" ""&amp;IFERROR(TRIM(INDEX(SPLIT(C235,""-""),2)),C235)"),"BAC Curup")</f>
        <v>BAC Curup</v>
      </c>
      <c r="G235" s="3" t="str">
        <f>IFERROR(__xludf.DUMMYFUNCTION("TRIM(INDEX(SPLIT(C235,""-""),1))"),"Bengkulu")</f>
        <v>Bengkulu</v>
      </c>
      <c r="H235" s="3" t="str">
        <f>IFERROR(__xludf.DUMMYFUNCTION("TRIM(INDEX(SPLIT(C235,""-""),2))"),"Curup")</f>
        <v>Curup</v>
      </c>
      <c r="I235" s="3"/>
      <c r="J235" s="7">
        <v>-3.4737146</v>
      </c>
      <c r="K235" s="7">
        <v>102.5219675</v>
      </c>
    </row>
    <row r="236">
      <c r="A236" s="3">
        <f t="shared" si="1"/>
        <v>235</v>
      </c>
      <c r="B236" s="4" t="s">
        <v>10</v>
      </c>
      <c r="C236" s="5" t="s">
        <v>532</v>
      </c>
      <c r="D236" s="6" t="s">
        <v>533</v>
      </c>
      <c r="E236" s="3"/>
      <c r="F236" s="3" t="str">
        <f>IFERROR(__xludf.DUMMYFUNCTION("SWITCH(
  TRUE,
  REGEXMATCH(B236,""Brain Academy""),""BAC"",
  REGEXMATCH(B236,""English Academy""),""EAC"",
  """"
)&amp;"" ""&amp;IFERROR(TRIM(INDEX(SPLIT(C236,""-""),2)),C236)"),"BAC Manna")</f>
        <v>BAC Manna</v>
      </c>
      <c r="G236" s="3" t="str">
        <f>IFERROR(__xludf.DUMMYFUNCTION("TRIM(INDEX(SPLIT(C236,""-""),1))"),"Bengkulu")</f>
        <v>Bengkulu</v>
      </c>
      <c r="H236" s="3" t="str">
        <f>IFERROR(__xludf.DUMMYFUNCTION("TRIM(INDEX(SPLIT(C236,""-""),2))"),"Manna")</f>
        <v>Manna</v>
      </c>
      <c r="I236" s="3"/>
      <c r="J236" s="7">
        <v>-4.460936</v>
      </c>
      <c r="K236" s="7">
        <v>102.9184028</v>
      </c>
    </row>
    <row r="237">
      <c r="A237" s="3">
        <f t="shared" si="1"/>
        <v>236</v>
      </c>
      <c r="B237" s="4" t="s">
        <v>10</v>
      </c>
      <c r="C237" s="5" t="s">
        <v>534</v>
      </c>
      <c r="D237" s="6" t="s">
        <v>535</v>
      </c>
      <c r="E237" s="3"/>
      <c r="F237" s="3" t="str">
        <f>IFERROR(__xludf.DUMMYFUNCTION("SWITCH(
  TRUE,
  REGEXMATCH(B237,""Brain Academy""),""BAC"",
  REGEXMATCH(B237,""English Academy""),""EAC"",
  """"
)&amp;"" ""&amp;IFERROR(TRIM(INDEX(SPLIT(C237,""-""),2)),C237)"),"BAC Muara Bulian")</f>
        <v>BAC Muara Bulian</v>
      </c>
      <c r="G237" s="3" t="str">
        <f>IFERROR(__xludf.DUMMYFUNCTION("TRIM(INDEX(SPLIT(C237,""-""),1))"),"Jambi")</f>
        <v>Jambi</v>
      </c>
      <c r="H237" s="3" t="str">
        <f>IFERROR(__xludf.DUMMYFUNCTION("TRIM(INDEX(SPLIT(C237,""-""),2))"),"Muara Bulian")</f>
        <v>Muara Bulian</v>
      </c>
      <c r="I237" s="3"/>
      <c r="J237" s="7">
        <v>-1.7033188</v>
      </c>
      <c r="K237" s="7">
        <v>103.262695</v>
      </c>
    </row>
    <row r="238">
      <c r="A238" s="3">
        <f t="shared" si="1"/>
        <v>237</v>
      </c>
      <c r="B238" s="4" t="s">
        <v>10</v>
      </c>
      <c r="C238" s="5" t="s">
        <v>536</v>
      </c>
      <c r="D238" s="6" t="s">
        <v>537</v>
      </c>
      <c r="E238" s="3"/>
      <c r="F238" s="3" t="str">
        <f>IFERROR(__xludf.DUMMYFUNCTION("SWITCH(
  TRUE,
  REGEXMATCH(B238,""Brain Academy""),""BAC"",
  REGEXMATCH(B238,""English Academy""),""EAC"",
  """"
)&amp;"" ""&amp;IFERROR(TRIM(INDEX(SPLIT(C238,""-""),2)),C238)"),"BAC Sungai Penuh")</f>
        <v>BAC Sungai Penuh</v>
      </c>
      <c r="G238" s="3" t="str">
        <f>IFERROR(__xludf.DUMMYFUNCTION("TRIM(INDEX(SPLIT(C238,""-""),1))"),"Jambi")</f>
        <v>Jambi</v>
      </c>
      <c r="H238" s="3" t="str">
        <f>IFERROR(__xludf.DUMMYFUNCTION("TRIM(INDEX(SPLIT(C238,""-""),2))"),"Sungai Penuh")</f>
        <v>Sungai Penuh</v>
      </c>
      <c r="I238" s="3"/>
      <c r="J238" s="7">
        <v>-2.0628746</v>
      </c>
      <c r="K238" s="7">
        <v>101.4007526</v>
      </c>
    </row>
    <row r="239">
      <c r="A239" s="3">
        <f t="shared" si="1"/>
        <v>238</v>
      </c>
      <c r="B239" s="4" t="s">
        <v>10</v>
      </c>
      <c r="C239" s="5" t="s">
        <v>538</v>
      </c>
      <c r="D239" s="6" t="s">
        <v>539</v>
      </c>
      <c r="E239" s="3"/>
      <c r="F239" s="3" t="str">
        <f>IFERROR(__xludf.DUMMYFUNCTION("SWITCH(
  TRUE,
  REGEXMATCH(B239,""Brain Academy""),""BAC"",
  REGEXMATCH(B239,""English Academy""),""EAC"",
  """"
)&amp;"" ""&amp;IFERROR(TRIM(INDEX(SPLIT(C239,""-""),2)),C239)"),"BAC Lembayung")</f>
        <v>BAC Lembayung</v>
      </c>
      <c r="G239" s="3" t="str">
        <f>IFERROR(__xludf.DUMMYFUNCTION("TRIM(INDEX(SPLIT(C239,""-""),1))"),"Lahat")</f>
        <v>Lahat</v>
      </c>
      <c r="H239" s="3" t="str">
        <f>IFERROR(__xludf.DUMMYFUNCTION("TRIM(INDEX(SPLIT(C239,""-""),2))"),"Lembayung")</f>
        <v>Lembayung</v>
      </c>
      <c r="I239" s="3"/>
      <c r="J239" s="7">
        <v>-3.7829753</v>
      </c>
      <c r="K239" s="7">
        <v>103.5642247</v>
      </c>
    </row>
    <row r="240">
      <c r="A240" s="3">
        <f t="shared" si="1"/>
        <v>239</v>
      </c>
      <c r="B240" s="4" t="s">
        <v>10</v>
      </c>
      <c r="C240" s="5" t="s">
        <v>540</v>
      </c>
      <c r="D240" s="6" t="s">
        <v>541</v>
      </c>
      <c r="E240" s="3"/>
      <c r="F240" s="3" t="str">
        <f>IFERROR(__xludf.DUMMYFUNCTION("SWITCH(
  TRUE,
  REGEXMATCH(B240,""Brain Academy""),""BAC"",
  REGEXMATCH(B240,""English Academy""),""EAC"",
  """"
)&amp;"" ""&amp;IFERROR(TRIM(INDEX(SPLIT(C240,""-""),2)),C240)"),"BAC Taba Koji")</f>
        <v>BAC Taba Koji</v>
      </c>
      <c r="G240" s="3" t="str">
        <f>IFERROR(__xludf.DUMMYFUNCTION("TRIM(INDEX(SPLIT(C240,""-""),1))"),"Lubuk Linggau")</f>
        <v>Lubuk Linggau</v>
      </c>
      <c r="H240" s="3" t="str">
        <f>IFERROR(__xludf.DUMMYFUNCTION("TRIM(INDEX(SPLIT(C240,""-""),2))"),"Taba Koji")</f>
        <v>Taba Koji</v>
      </c>
      <c r="I240" s="3"/>
      <c r="J240" s="7">
        <v>-3.2889003</v>
      </c>
      <c r="K240" s="7">
        <v>102.8752766</v>
      </c>
    </row>
    <row r="241">
      <c r="A241" s="3">
        <f t="shared" si="1"/>
        <v>240</v>
      </c>
      <c r="B241" s="4" t="s">
        <v>10</v>
      </c>
      <c r="C241" s="5" t="s">
        <v>542</v>
      </c>
      <c r="D241" s="6" t="s">
        <v>543</v>
      </c>
      <c r="E241" s="3"/>
      <c r="F241" s="3" t="str">
        <f>IFERROR(__xludf.DUMMYFUNCTION("SWITCH(
  TRUE,
  REGEXMATCH(B241,""Brain Academy""),""BAC"",
  REGEXMATCH(B241,""English Academy""),""EAC"",
  """"
)&amp;"" ""&amp;IFERROR(TRIM(INDEX(SPLIT(C241,""-""),2)),C241)"),"BAC Sudirman")</f>
        <v>BAC Sudirman</v>
      </c>
      <c r="G241" s="3" t="str">
        <f>IFERROR(__xludf.DUMMYFUNCTION("TRIM(INDEX(SPLIT(C241,""-""),1))"),"Muara Enim")</f>
        <v>Muara Enim</v>
      </c>
      <c r="H241" s="3" t="str">
        <f>IFERROR(__xludf.DUMMYFUNCTION("TRIM(INDEX(SPLIT(C241,""-""),2))"),"Sudirman")</f>
        <v>Sudirman</v>
      </c>
      <c r="I241" s="3"/>
      <c r="J241" s="7">
        <v>-3.656385</v>
      </c>
      <c r="K241" s="7">
        <v>103.7732639</v>
      </c>
    </row>
    <row r="242">
      <c r="A242" s="3">
        <f t="shared" si="1"/>
        <v>241</v>
      </c>
      <c r="B242" s="4" t="s">
        <v>10</v>
      </c>
      <c r="C242" s="5" t="s">
        <v>544</v>
      </c>
      <c r="D242" s="6" t="s">
        <v>545</v>
      </c>
      <c r="E242" s="3"/>
      <c r="F242" s="3" t="str">
        <f>IFERROR(__xludf.DUMMYFUNCTION("SWITCH(
  TRUE,
  REGEXMATCH(B242,""Brain Academy""),""BAC"",
  REGEXMATCH(B242,""English Academy""),""EAC"",
  """"
)&amp;"" ""&amp;IFERROR(TRIM(INDEX(SPLIT(C242,""-""),2)),C242)"),"BAC Depati Hamza")</f>
        <v>BAC Depati Hamza</v>
      </c>
      <c r="G242" s="3" t="str">
        <f>IFERROR(__xludf.DUMMYFUNCTION("TRIM(INDEX(SPLIT(C242,""-""),1))"),"Pangkal Pinang")</f>
        <v>Pangkal Pinang</v>
      </c>
      <c r="H242" s="3" t="str">
        <f>IFERROR(__xludf.DUMMYFUNCTION("TRIM(INDEX(SPLIT(C242,""-""),2))"),"Depati Hamza")</f>
        <v>Depati Hamza</v>
      </c>
      <c r="I242" s="3"/>
      <c r="J242" s="7">
        <v>-2.1347025</v>
      </c>
      <c r="K242" s="7">
        <v>106.1198955</v>
      </c>
    </row>
    <row r="243">
      <c r="A243" s="3">
        <f t="shared" si="1"/>
        <v>242</v>
      </c>
      <c r="B243" s="4" t="s">
        <v>10</v>
      </c>
      <c r="C243" s="5" t="s">
        <v>546</v>
      </c>
      <c r="D243" s="6" t="s">
        <v>547</v>
      </c>
      <c r="E243" s="3"/>
      <c r="F243" s="3" t="str">
        <f>IFERROR(__xludf.DUMMYFUNCTION("SWITCH(
  TRUE,
  REGEXMATCH(B243,""Brain Academy""),""BAC"",
  REGEXMATCH(B243,""English Academy""),""EAC"",
  """"
)&amp;"" ""&amp;IFERROR(TRIM(INDEX(SPLIT(C243,""-""),2)),C243)"),"BAC Jenderal Sudirman")</f>
        <v>BAC Jenderal Sudirman</v>
      </c>
      <c r="G243" s="3" t="str">
        <f>IFERROR(__xludf.DUMMYFUNCTION("TRIM(INDEX(SPLIT(C243,""-""),1))"),"Bangkinang")</f>
        <v>Bangkinang</v>
      </c>
      <c r="H243" s="3" t="str">
        <f>IFERROR(__xludf.DUMMYFUNCTION("TRIM(INDEX(SPLIT(C243,""-""),2))"),"Jenderal Sudirman")</f>
        <v>Jenderal Sudirman</v>
      </c>
      <c r="I243" s="3"/>
      <c r="J243" s="7">
        <v>0.3393156</v>
      </c>
      <c r="K243" s="7">
        <v>101.0286359</v>
      </c>
    </row>
    <row r="244">
      <c r="A244" s="3">
        <f t="shared" si="1"/>
        <v>243</v>
      </c>
      <c r="B244" s="4" t="s">
        <v>10</v>
      </c>
      <c r="C244" s="5" t="s">
        <v>548</v>
      </c>
      <c r="D244" s="6" t="s">
        <v>549</v>
      </c>
      <c r="E244" s="3"/>
      <c r="F244" s="3" t="str">
        <f>IFERROR(__xludf.DUMMYFUNCTION("SWITCH(
  TRUE,
  REGEXMATCH(B244,""Brain Academy""),""BAC"",
  REGEXMATCH(B244,""English Academy""),""EAC"",
  """"
)&amp;"" ""&amp;IFERROR(TRIM(INDEX(SPLIT(C244,""-""),2)),C244)"),"BAC Maharaja Indra")</f>
        <v>BAC Maharaja Indra</v>
      </c>
      <c r="G244" s="3" t="str">
        <f>IFERROR(__xludf.DUMMYFUNCTION("TRIM(INDEX(SPLIT(C244,""-""),1))"),"Pangkalan Kerinci")</f>
        <v>Pangkalan Kerinci</v>
      </c>
      <c r="H244" s="3" t="str">
        <f>IFERROR(__xludf.DUMMYFUNCTION("TRIM(INDEX(SPLIT(C244,""-""),2))"),"Maharaja Indra")</f>
        <v>Maharaja Indra</v>
      </c>
      <c r="I244" s="3"/>
      <c r="J244" s="7">
        <v>0.4027717</v>
      </c>
      <c r="K244" s="7">
        <v>101.8579527</v>
      </c>
    </row>
    <row r="245">
      <c r="A245" s="3">
        <f t="shared" si="1"/>
        <v>244</v>
      </c>
      <c r="B245" s="4" t="s">
        <v>10</v>
      </c>
      <c r="C245" s="5" t="s">
        <v>550</v>
      </c>
      <c r="D245" s="6" t="s">
        <v>551</v>
      </c>
      <c r="E245" s="3"/>
      <c r="F245" s="3" t="str">
        <f>IFERROR(__xludf.DUMMYFUNCTION("SWITCH(
  TRUE,
  REGEXMATCH(B245,""Brain Academy""),""BAC"",
  REGEXMATCH(B245,""English Academy""),""EAC"",
  """"
)&amp;"" ""&amp;IFERROR(TRIM(INDEX(SPLIT(C245,""-""),2)),C245)"),"BAC KM5")</f>
        <v>BAC KM5</v>
      </c>
      <c r="G245" s="3" t="str">
        <f>IFERROR(__xludf.DUMMYFUNCTION("TRIM(INDEX(SPLIT(C245,""-""),1))"),"Perawang")</f>
        <v>Perawang</v>
      </c>
      <c r="H245" s="3" t="str">
        <f>IFERROR(__xludf.DUMMYFUNCTION("TRIM(INDEX(SPLIT(C245,""-""),2))"),"KM5")</f>
        <v>KM5</v>
      </c>
      <c r="I245" s="3"/>
      <c r="J245" s="7">
        <v>0.6724808</v>
      </c>
      <c r="K245" s="7">
        <v>101.6034606</v>
      </c>
    </row>
    <row r="246">
      <c r="A246" s="3">
        <f t="shared" si="1"/>
        <v>245</v>
      </c>
      <c r="B246" s="4" t="s">
        <v>10</v>
      </c>
      <c r="C246" s="5" t="s">
        <v>552</v>
      </c>
      <c r="D246" s="6" t="s">
        <v>553</v>
      </c>
      <c r="E246" s="3"/>
      <c r="F246" s="3" t="str">
        <f>IFERROR(__xludf.DUMMYFUNCTION("SWITCH(
  TRUE,
  REGEXMATCH(B246,""Brain Academy""),""BAC"",
  REGEXMATCH(B246,""English Academy""),""EAC"",
  """"
)&amp;"" ""&amp;IFERROR(TRIM(INDEX(SPLIT(C246,""-""),2)),C246)"),"BAC Pamedan")</f>
        <v>BAC Pamedan</v>
      </c>
      <c r="G246" s="3" t="str">
        <f>IFERROR(__xludf.DUMMYFUNCTION("TRIM(INDEX(SPLIT(C246,""-""),1))"),"Tanjung Pinang")</f>
        <v>Tanjung Pinang</v>
      </c>
      <c r="H246" s="3" t="str">
        <f>IFERROR(__xludf.DUMMYFUNCTION("TRIM(INDEX(SPLIT(C246,""-""),2))"),"Pamedan")</f>
        <v>Pamedan</v>
      </c>
      <c r="I246" s="3"/>
      <c r="J246" s="7">
        <v>0.910868</v>
      </c>
      <c r="K246" s="7">
        <v>104.4636348</v>
      </c>
    </row>
    <row r="247">
      <c r="A247" s="3">
        <f t="shared" si="1"/>
        <v>246</v>
      </c>
      <c r="B247" s="4" t="s">
        <v>10</v>
      </c>
      <c r="C247" s="5" t="s">
        <v>554</v>
      </c>
      <c r="D247" s="6" t="s">
        <v>555</v>
      </c>
      <c r="E247" s="3"/>
      <c r="F247" s="3" t="str">
        <f>IFERROR(__xludf.DUMMYFUNCTION("SWITCH(
  TRUE,
  REGEXMATCH(B247,""Brain Academy""),""BAC"",
  REGEXMATCH(B247,""English Academy""),""EAC"",
  """"
)&amp;"" ""&amp;IFERROR(TRIM(INDEX(SPLIT(C247,""-""),2)),C247)"),"BAC Beringin Taluk")</f>
        <v>BAC Beringin Taluk</v>
      </c>
      <c r="G247" s="3" t="str">
        <f>IFERROR(__xludf.DUMMYFUNCTION("TRIM(INDEX(SPLIT(C247,""-""),1))"),"Teluk Kuantan")</f>
        <v>Teluk Kuantan</v>
      </c>
      <c r="H247" s="3" t="str">
        <f>IFERROR(__xludf.DUMMYFUNCTION("TRIM(INDEX(SPLIT(C247,""-""),2))"),"Beringin Taluk")</f>
        <v>Beringin Taluk</v>
      </c>
      <c r="I247" s="3"/>
      <c r="J247" s="7">
        <v>-0.5256545</v>
      </c>
      <c r="K247" s="7">
        <v>101.5676844</v>
      </c>
    </row>
    <row r="248">
      <c r="A248" s="3">
        <f t="shared" si="1"/>
        <v>247</v>
      </c>
      <c r="B248" s="4" t="s">
        <v>10</v>
      </c>
      <c r="C248" s="5" t="s">
        <v>556</v>
      </c>
      <c r="D248" s="6" t="s">
        <v>557</v>
      </c>
      <c r="E248" s="3"/>
      <c r="F248" s="3" t="str">
        <f>IFERROR(__xludf.DUMMYFUNCTION("SWITCH(
  TRUE,
  REGEXMATCH(B248,""Brain Academy""),""BAC"",
  REGEXMATCH(B248,""English Academy""),""EAC"",
  """"
)&amp;"" ""&amp;IFERROR(TRIM(INDEX(SPLIT(C248,""-""),2)),C248)"),"BAC Liwa")</f>
        <v>BAC Liwa</v>
      </c>
      <c r="G248" s="3" t="str">
        <f>IFERROR(__xludf.DUMMYFUNCTION("TRIM(INDEX(SPLIT(C248,""-""),1))"),"Lampung")</f>
        <v>Lampung</v>
      </c>
      <c r="H248" s="3" t="str">
        <f>IFERROR(__xludf.DUMMYFUNCTION("TRIM(INDEX(SPLIT(C248,""-""),2))"),"Liwa")</f>
        <v>Liwa</v>
      </c>
      <c r="I248" s="3"/>
      <c r="J248" s="7">
        <v>-5.035728799999999</v>
      </c>
      <c r="K248" s="7">
        <v>104.0813903</v>
      </c>
    </row>
    <row r="249">
      <c r="A249" s="3">
        <f t="shared" si="1"/>
        <v>248</v>
      </c>
      <c r="B249" s="4" t="s">
        <v>10</v>
      </c>
      <c r="C249" s="5" t="s">
        <v>558</v>
      </c>
      <c r="D249" s="6" t="s">
        <v>559</v>
      </c>
      <c r="E249" s="3"/>
      <c r="F249" s="3" t="str">
        <f>IFERROR(__xludf.DUMMYFUNCTION("SWITCH(
  TRUE,
  REGEXMATCH(B249,""Brain Academy""),""BAC"",
  REGEXMATCH(B249,""English Academy""),""EAC"",
  """"
)&amp;"" ""&amp;IFERROR(TRIM(INDEX(SPLIT(C249,""-""),2)),C249)"),"BAC Kalianda")</f>
        <v>BAC Kalianda</v>
      </c>
      <c r="G249" s="3" t="str">
        <f>IFERROR(__xludf.DUMMYFUNCTION("TRIM(INDEX(SPLIT(C249,""-""),1))"),"Lampung")</f>
        <v>Lampung</v>
      </c>
      <c r="H249" s="3" t="str">
        <f>IFERROR(__xludf.DUMMYFUNCTION("TRIM(INDEX(SPLIT(C249,""-""),2))"),"Kalianda")</f>
        <v>Kalianda</v>
      </c>
      <c r="I249" s="3"/>
      <c r="J249" s="7">
        <v>-5.6956538</v>
      </c>
      <c r="K249" s="7">
        <v>105.5820509</v>
      </c>
    </row>
    <row r="250">
      <c r="A250" s="3">
        <f t="shared" si="1"/>
        <v>249</v>
      </c>
      <c r="B250" s="4" t="s">
        <v>10</v>
      </c>
      <c r="C250" s="5" t="s">
        <v>560</v>
      </c>
      <c r="D250" s="6" t="s">
        <v>561</v>
      </c>
      <c r="E250" s="3"/>
      <c r="F250" s="3" t="str">
        <f>IFERROR(__xludf.DUMMYFUNCTION("SWITCH(
  TRUE,
  REGEXMATCH(B250,""Brain Academy""),""BAC"",
  REGEXMATCH(B250,""English Academy""),""EAC"",
  """"
)&amp;"" ""&amp;IFERROR(TRIM(INDEX(SPLIT(C250,""-""),2)),C250)"),"BAC Ahmad Yani")</f>
        <v>BAC Ahmad Yani</v>
      </c>
      <c r="G250" s="3" t="str">
        <f>IFERROR(__xludf.DUMMYFUNCTION("TRIM(INDEX(SPLIT(C250,""-""),1))"),"Pringsewu")</f>
        <v>Pringsewu</v>
      </c>
      <c r="H250" s="3" t="str">
        <f>IFERROR(__xludf.DUMMYFUNCTION("TRIM(INDEX(SPLIT(C250,""-""),2))"),"Ahmad Yani")</f>
        <v>Ahmad Yani</v>
      </c>
      <c r="I250" s="3"/>
      <c r="J250" s="7">
        <v>-5.3559549</v>
      </c>
      <c r="K250" s="7">
        <v>104.9763587</v>
      </c>
    </row>
    <row r="251">
      <c r="A251" s="3">
        <f t="shared" si="1"/>
        <v>250</v>
      </c>
      <c r="B251" s="4" t="s">
        <v>10</v>
      </c>
      <c r="C251" s="5" t="s">
        <v>562</v>
      </c>
      <c r="D251" s="6" t="s">
        <v>563</v>
      </c>
      <c r="E251" s="3"/>
      <c r="F251" s="3" t="str">
        <f>IFERROR(__xludf.DUMMYFUNCTION("SWITCH(
  TRUE,
  REGEXMATCH(B251,""Brain Academy""),""BAC"",
  REGEXMATCH(B251,""English Academy""),""EAC"",
  """"
)&amp;"" ""&amp;IFERROR(TRIM(INDEX(SPLIT(C251,""-""),2)),C251)"),"BAC PCI")</f>
        <v>BAC PCI</v>
      </c>
      <c r="G251" s="3" t="str">
        <f>IFERROR(__xludf.DUMMYFUNCTION("TRIM(INDEX(SPLIT(C251,""-""),1))"),"Cilegon")</f>
        <v>Cilegon</v>
      </c>
      <c r="H251" s="3" t="str">
        <f>IFERROR(__xludf.DUMMYFUNCTION("TRIM(INDEX(SPLIT(C251,""-""),2))"),"PCI")</f>
        <v>PCI</v>
      </c>
      <c r="I251" s="3"/>
      <c r="J251" s="7">
        <v>-6.0348193</v>
      </c>
      <c r="K251" s="7">
        <v>106.0805314</v>
      </c>
    </row>
    <row r="252">
      <c r="A252" s="3">
        <f t="shared" si="1"/>
        <v>251</v>
      </c>
      <c r="B252" s="4" t="s">
        <v>10</v>
      </c>
      <c r="C252" s="5" t="s">
        <v>564</v>
      </c>
      <c r="D252" s="6" t="s">
        <v>565</v>
      </c>
      <c r="E252" s="3"/>
      <c r="F252" s="3" t="str">
        <f>IFERROR(__xludf.DUMMYFUNCTION("SWITCH(
  TRUE,
  REGEXMATCH(B252,""Brain Academy""),""BAC"",
  REGEXMATCH(B252,""English Academy""),""EAC"",
  """"
)&amp;"" ""&amp;IFERROR(TRIM(INDEX(SPLIT(C252,""-""),2)),C252)"),"BAC Abdul Halim")</f>
        <v>BAC Abdul Halim</v>
      </c>
      <c r="G252" s="3" t="str">
        <f>IFERROR(__xludf.DUMMYFUNCTION("TRIM(INDEX(SPLIT(C252,""-""),1))"),"Majalengka")</f>
        <v>Majalengka</v>
      </c>
      <c r="H252" s="3" t="str">
        <f>IFERROR(__xludf.DUMMYFUNCTION("TRIM(INDEX(SPLIT(C252,""-""),2))"),"Abdul Halim")</f>
        <v>Abdul Halim</v>
      </c>
      <c r="I252" s="3"/>
      <c r="J252" s="7">
        <v>-6.833962</v>
      </c>
      <c r="K252" s="7">
        <v>108.2205613</v>
      </c>
    </row>
    <row r="253">
      <c r="A253" s="3">
        <f t="shared" si="1"/>
        <v>252</v>
      </c>
      <c r="B253" s="4" t="s">
        <v>10</v>
      </c>
      <c r="C253" s="5" t="s">
        <v>566</v>
      </c>
      <c r="D253" s="6" t="s">
        <v>567</v>
      </c>
      <c r="E253" s="3"/>
      <c r="F253" s="3" t="str">
        <f>IFERROR(__xludf.DUMMYFUNCTION("SWITCH(
  TRUE,
  REGEXMATCH(B253,""Brain Academy""),""BAC"",
  REGEXMATCH(B253,""English Academy""),""EAC"",
  """"
)&amp;"" ""&amp;IFERROR(TRIM(INDEX(SPLIT(C253,""-""),2)),C253)"),"BAC Perintis")</f>
        <v>BAC Perintis</v>
      </c>
      <c r="G253" s="3" t="str">
        <f>IFERROR(__xludf.DUMMYFUNCTION("TRIM(INDEX(SPLIT(C253,""-""),1))"),"Garut")</f>
        <v>Garut</v>
      </c>
      <c r="H253" s="3" t="str">
        <f>IFERROR(__xludf.DUMMYFUNCTION("TRIM(INDEX(SPLIT(C253,""-""),2))"),"Perintis")</f>
        <v>Perintis</v>
      </c>
      <c r="I253" s="3"/>
      <c r="J253" s="7">
        <v>-7.209150600000001</v>
      </c>
      <c r="K253" s="7">
        <v>107.9020165</v>
      </c>
    </row>
    <row r="254">
      <c r="A254" s="3">
        <f t="shared" si="1"/>
        <v>253</v>
      </c>
      <c r="B254" s="4" t="s">
        <v>10</v>
      </c>
      <c r="C254" s="5" t="s">
        <v>568</v>
      </c>
      <c r="D254" s="6" t="s">
        <v>569</v>
      </c>
      <c r="E254" s="3"/>
      <c r="F254" s="3" t="str">
        <f>IFERROR(__xludf.DUMMYFUNCTION("SWITCH(
  TRUE,
  REGEXMATCH(B254,""Brain Academy""),""BAC"",
  REGEXMATCH(B254,""English Academy""),""EAC"",
  """"
)&amp;"" ""&amp;IFERROR(TRIM(INDEX(SPLIT(C254,""-""),2)),C254)"),"BAC Kusuma")</f>
        <v>BAC Kusuma</v>
      </c>
      <c r="G254" s="3" t="str">
        <f>IFERROR(__xludf.DUMMYFUNCTION("TRIM(INDEX(SPLIT(C254,""-""),1))"),"Kebumen")</f>
        <v>Kebumen</v>
      </c>
      <c r="H254" s="3" t="str">
        <f>IFERROR(__xludf.DUMMYFUNCTION("TRIM(INDEX(SPLIT(C254,""-""),2))"),"Kusuma")</f>
        <v>Kusuma</v>
      </c>
      <c r="I254" s="3"/>
      <c r="J254" s="7">
        <v>-7.67029</v>
      </c>
      <c r="K254" s="7">
        <v>109.6612978</v>
      </c>
    </row>
    <row r="255">
      <c r="A255" s="3">
        <f t="shared" si="1"/>
        <v>254</v>
      </c>
      <c r="B255" s="4" t="s">
        <v>10</v>
      </c>
      <c r="C255" s="5" t="s">
        <v>570</v>
      </c>
      <c r="D255" s="6" t="s">
        <v>571</v>
      </c>
      <c r="E255" s="3"/>
      <c r="F255" s="3" t="str">
        <f>IFERROR(__xludf.DUMMYFUNCTION("SWITCH(
  TRUE,
  REGEXMATCH(B255,""Brain Academy""),""BAC"",
  REGEXMATCH(B255,""English Academy""),""EAC"",
  """"
)&amp;"" ""&amp;IFERROR(TRIM(INDEX(SPLIT(C255,""-""),2)),C255)"),"BAC Tentara Pelajar")</f>
        <v>BAC Tentara Pelajar</v>
      </c>
      <c r="G255" s="3" t="str">
        <f>IFERROR(__xludf.DUMMYFUNCTION("TRIM(INDEX(SPLIT(C255,""-""),1))"),"Temanggung")</f>
        <v>Temanggung</v>
      </c>
      <c r="H255" s="3" t="str">
        <f>IFERROR(__xludf.DUMMYFUNCTION("TRIM(INDEX(SPLIT(C255,""-""),2))"),"Tentara Pelajar")</f>
        <v>Tentara Pelajar</v>
      </c>
      <c r="I255" s="3"/>
      <c r="J255" s="7">
        <v>-7.3152751</v>
      </c>
      <c r="K255" s="7">
        <v>110.1791162</v>
      </c>
    </row>
    <row r="256">
      <c r="A256" s="3">
        <f t="shared" si="1"/>
        <v>255</v>
      </c>
      <c r="B256" s="4" t="s">
        <v>10</v>
      </c>
      <c r="C256" s="5" t="s">
        <v>572</v>
      </c>
      <c r="D256" s="6" t="s">
        <v>573</v>
      </c>
      <c r="E256" s="3"/>
      <c r="F256" s="3" t="str">
        <f>IFERROR(__xludf.DUMMYFUNCTION("SWITCH(
  TRUE,
  REGEXMATCH(B256,""Brain Academy""),""BAC"",
  REGEXMATCH(B256,""English Academy""),""EAC"",
  """"
)&amp;"" ""&amp;IFERROR(TRIM(INDEX(SPLIT(C256,""-""),2)),C256)"),"BAC Genteng")</f>
        <v>BAC Genteng</v>
      </c>
      <c r="G256" s="3" t="str">
        <f>IFERROR(__xludf.DUMMYFUNCTION("TRIM(INDEX(SPLIT(C256,""-""),1))"),"Banyuwangi")</f>
        <v>Banyuwangi</v>
      </c>
      <c r="H256" s="3" t="str">
        <f>IFERROR(__xludf.DUMMYFUNCTION("TRIM(INDEX(SPLIT(C256,""-""),2))"),"Genteng")</f>
        <v>Genteng</v>
      </c>
      <c r="I256" s="3"/>
      <c r="J256" s="7">
        <v>-8.3650284</v>
      </c>
      <c r="K256" s="7">
        <v>114.1445286</v>
      </c>
    </row>
    <row r="257">
      <c r="A257" s="3">
        <f t="shared" si="1"/>
        <v>256</v>
      </c>
      <c r="B257" s="4" t="s">
        <v>10</v>
      </c>
      <c r="C257" s="5" t="s">
        <v>574</v>
      </c>
      <c r="D257" s="6" t="s">
        <v>575</v>
      </c>
      <c r="E257" s="3"/>
      <c r="F257" s="3" t="str">
        <f>IFERROR(__xludf.DUMMYFUNCTION("SWITCH(
  TRUE,
  REGEXMATCH(B257,""Brain Academy""),""BAC"",
  REGEXMATCH(B257,""English Academy""),""EAC"",
  """"
)&amp;"" ""&amp;IFERROR(TRIM(INDEX(SPLIT(C257,""-""),2)),C257)"),"BAC Diponegoro")</f>
        <v>BAC Diponegoro</v>
      </c>
      <c r="G257" s="3" t="str">
        <f>IFERROR(__xludf.DUMMYFUNCTION("TRIM(INDEX(SPLIT(C257,""-""),1))"),"Bondowoso")</f>
        <v>Bondowoso</v>
      </c>
      <c r="H257" s="3" t="str">
        <f>IFERROR(__xludf.DUMMYFUNCTION("TRIM(INDEX(SPLIT(C257,""-""),2))"),"Diponegoro")</f>
        <v>Diponegoro</v>
      </c>
      <c r="I257" s="3"/>
      <c r="J257" s="7">
        <v>-7.9085334</v>
      </c>
      <c r="K257" s="7">
        <v>113.8145245</v>
      </c>
    </row>
    <row r="258">
      <c r="A258" s="3">
        <f t="shared" si="1"/>
        <v>257</v>
      </c>
      <c r="B258" s="4" t="s">
        <v>10</v>
      </c>
      <c r="C258" s="5" t="s">
        <v>576</v>
      </c>
      <c r="D258" s="6" t="s">
        <v>577</v>
      </c>
      <c r="E258" s="3"/>
      <c r="F258" s="3" t="str">
        <f>IFERROR(__xludf.DUMMYFUNCTION("SWITCH(
  TRUE,
  REGEXMATCH(B258,""Brain Academy""),""BAC"",
  REGEXMATCH(B258,""English Academy""),""EAC"",
  """"
)&amp;"" ""&amp;IFERROR(TRIM(INDEX(SPLIT(C258,""-""),2)),C258)"),"BAC Lawang")</f>
        <v>BAC Lawang</v>
      </c>
      <c r="G258" s="3" t="str">
        <f>IFERROR(__xludf.DUMMYFUNCTION("TRIM(INDEX(SPLIT(C258,""-""),1))"),"Malang")</f>
        <v>Malang</v>
      </c>
      <c r="H258" s="3" t="str">
        <f>IFERROR(__xludf.DUMMYFUNCTION("TRIM(INDEX(SPLIT(C258,""-""),2))"),"Lawang")</f>
        <v>Lawang</v>
      </c>
      <c r="I258" s="3"/>
      <c r="J258" s="7">
        <v>-7.842485</v>
      </c>
      <c r="K258" s="7">
        <v>112.6974715</v>
      </c>
    </row>
    <row r="259">
      <c r="A259" s="3">
        <f t="shared" si="1"/>
        <v>258</v>
      </c>
      <c r="B259" s="4" t="s">
        <v>10</v>
      </c>
      <c r="C259" s="5" t="s">
        <v>578</v>
      </c>
      <c r="D259" s="6" t="s">
        <v>579</v>
      </c>
      <c r="E259" s="3"/>
      <c r="F259" s="3" t="str">
        <f>IFERROR(__xludf.DUMMYFUNCTION("SWITCH(
  TRUE,
  REGEXMATCH(B259,""Brain Academy""),""BAC"",
  REGEXMATCH(B259,""English Academy""),""EAC"",
  """"
)&amp;"" ""&amp;IFERROR(TRIM(INDEX(SPLIT(C259,""-""),2)),C259)"),"BAC Basuki Rahmat")</f>
        <v>BAC Basuki Rahmat</v>
      </c>
      <c r="G259" s="3" t="str">
        <f>IFERROR(__xludf.DUMMYFUNCTION("TRIM(INDEX(SPLIT(C259,""-""),1))"),"Situbondo")</f>
        <v>Situbondo</v>
      </c>
      <c r="H259" s="3" t="str">
        <f>IFERROR(__xludf.DUMMYFUNCTION("TRIM(INDEX(SPLIT(C259,""-""),2))"),"Basuki Rahmat")</f>
        <v>Basuki Rahmat</v>
      </c>
      <c r="I259" s="3"/>
      <c r="J259" s="7">
        <v>-7.7042128</v>
      </c>
      <c r="K259" s="7">
        <v>114.0114398</v>
      </c>
    </row>
    <row r="260">
      <c r="A260" s="3">
        <f t="shared" si="1"/>
        <v>259</v>
      </c>
      <c r="B260" s="4" t="s">
        <v>10</v>
      </c>
      <c r="C260" s="5" t="s">
        <v>580</v>
      </c>
      <c r="D260" s="6" t="s">
        <v>581</v>
      </c>
      <c r="E260" s="3"/>
      <c r="F260" s="3" t="str">
        <f>IFERROR(__xludf.DUMMYFUNCTION("SWITCH(
  TRUE,
  REGEXMATCH(B260,""Brain Academy""),""BAC"",
  REGEXMATCH(B260,""English Academy""),""EAC"",
  """"
)&amp;"" ""&amp;IFERROR(TRIM(INDEX(SPLIT(C260,""-""),2)),C260)"),"BAC Gading")</f>
        <v>BAC Gading</v>
      </c>
      <c r="G260" s="3" t="str">
        <f>IFERROR(__xludf.DUMMYFUNCTION("TRIM(INDEX(SPLIT(C260,""-""),1))"),"Ngawi")</f>
        <v>Ngawi</v>
      </c>
      <c r="H260" s="3" t="str">
        <f>IFERROR(__xludf.DUMMYFUNCTION("TRIM(INDEX(SPLIT(C260,""-""),2))"),"Gading")</f>
        <v>Gading</v>
      </c>
      <c r="I260" s="3"/>
      <c r="J260" s="7">
        <v>-7.4194539</v>
      </c>
      <c r="K260" s="7">
        <v>111.4419798</v>
      </c>
    </row>
    <row r="261">
      <c r="A261" s="3">
        <f t="shared" si="1"/>
        <v>260</v>
      </c>
      <c r="B261" s="4" t="s">
        <v>10</v>
      </c>
      <c r="C261" s="5" t="s">
        <v>582</v>
      </c>
      <c r="D261" s="6" t="s">
        <v>583</v>
      </c>
      <c r="E261" s="3"/>
      <c r="F261" s="3" t="str">
        <f>IFERROR(__xludf.DUMMYFUNCTION("SWITCH(
  TRUE,
  REGEXMATCH(B261,""Brain Academy""),""BAC"",
  REGEXMATCH(B261,""English Academy""),""EAC"",
  """"
)&amp;"" ""&amp;IFERROR(TRIM(INDEX(SPLIT(C261,""-""),2)),C261)"),"BAC Jenderal Sudirman")</f>
        <v>BAC Jenderal Sudirman</v>
      </c>
      <c r="G261" s="3" t="str">
        <f>IFERROR(__xludf.DUMMYFUNCTION("TRIM(INDEX(SPLIT(C261,""-""),1))"),"Jembrana")</f>
        <v>Jembrana</v>
      </c>
      <c r="H261" s="3" t="str">
        <f>IFERROR(__xludf.DUMMYFUNCTION("TRIM(INDEX(SPLIT(C261,""-""),2))"),"Jenderal Sudirman")</f>
        <v>Jenderal Sudirman</v>
      </c>
      <c r="I261" s="3"/>
      <c r="J261" s="7">
        <v>-8.358291699999999</v>
      </c>
      <c r="K261" s="7">
        <v>114.6343849</v>
      </c>
    </row>
    <row r="262">
      <c r="A262" s="3">
        <f t="shared" si="1"/>
        <v>261</v>
      </c>
      <c r="B262" s="4" t="s">
        <v>10</v>
      </c>
      <c r="C262" s="5" t="s">
        <v>584</v>
      </c>
      <c r="D262" s="6" t="s">
        <v>585</v>
      </c>
      <c r="E262" s="3"/>
      <c r="F262" s="3" t="str">
        <f>IFERROR(__xludf.DUMMYFUNCTION("SWITCH(
  TRUE,
  REGEXMATCH(B262,""Brain Academy""),""BAC"",
  REGEXMATCH(B262,""English Academy""),""EAC"",
  """"
)&amp;"" ""&amp;IFERROR(TRIM(INDEX(SPLIT(C262,""-""),2)),C262)"),"BAC Frans Seda")</f>
        <v>BAC Frans Seda</v>
      </c>
      <c r="G262" s="3" t="str">
        <f>IFERROR(__xludf.DUMMYFUNCTION("TRIM(INDEX(SPLIT(C262,""-""),1))"),"Kupang")</f>
        <v>Kupang</v>
      </c>
      <c r="H262" s="3" t="str">
        <f>IFERROR(__xludf.DUMMYFUNCTION("TRIM(INDEX(SPLIT(C262,""-""),2))"),"Frans Seda")</f>
        <v>Frans Seda</v>
      </c>
      <c r="I262" s="3"/>
      <c r="J262" s="7">
        <v>-10.1673145</v>
      </c>
      <c r="K262" s="7">
        <v>123.6083936</v>
      </c>
    </row>
    <row r="263">
      <c r="A263" s="3">
        <f t="shared" si="1"/>
        <v>262</v>
      </c>
      <c r="B263" s="4" t="s">
        <v>10</v>
      </c>
      <c r="C263" s="5" t="s">
        <v>586</v>
      </c>
      <c r="D263" s="6" t="s">
        <v>587</v>
      </c>
      <c r="E263" s="3"/>
      <c r="F263" s="3" t="str">
        <f>IFERROR(__xludf.DUMMYFUNCTION("SWITCH(
  TRUE,
  REGEXMATCH(B263,""Brain Academy""),""BAC"",
  REGEXMATCH(B263,""English Academy""),""EAC"",
  """"
)&amp;"" ""&amp;IFERROR(TRIM(INDEX(SPLIT(C263,""-""),2)),C263)"),"BAC RTA Milono")</f>
        <v>BAC RTA Milono</v>
      </c>
      <c r="G263" s="3" t="str">
        <f>IFERROR(__xludf.DUMMYFUNCTION("TRIM(INDEX(SPLIT(C263,""-""),1))"),"Palangkaraya")</f>
        <v>Palangkaraya</v>
      </c>
      <c r="H263" s="3" t="str">
        <f>IFERROR(__xludf.DUMMYFUNCTION("TRIM(INDEX(SPLIT(C263,""-""),2))"),"RTA Milono")</f>
        <v>RTA Milono</v>
      </c>
      <c r="I263" s="3"/>
      <c r="J263" s="7">
        <v>-2.2421041</v>
      </c>
      <c r="K263" s="7">
        <v>113.9207471</v>
      </c>
    </row>
    <row r="264">
      <c r="A264" s="3">
        <f t="shared" si="1"/>
        <v>263</v>
      </c>
      <c r="B264" s="4" t="s">
        <v>10</v>
      </c>
      <c r="C264" s="5" t="s">
        <v>588</v>
      </c>
      <c r="D264" s="6" t="s">
        <v>589</v>
      </c>
      <c r="E264" s="3"/>
      <c r="F264" s="3" t="str">
        <f>IFERROR(__xludf.DUMMYFUNCTION("SWITCH(
  TRUE,
  REGEXMATCH(B264,""Brain Academy""),""BAC"",
  REGEXMATCH(B264,""English Academy""),""EAC"",
  """"
)&amp;"" ""&amp;IFERROR(TRIM(INDEX(SPLIT(C264,""-""),2)),C264)"),"BAC Yos Sudarso")</f>
        <v>BAC Yos Sudarso</v>
      </c>
      <c r="G264" s="3" t="str">
        <f>IFERROR(__xludf.DUMMYFUNCTION("TRIM(INDEX(SPLIT(C264,""-""),1))"),"Sangatta")</f>
        <v>Sangatta</v>
      </c>
      <c r="H264" s="3" t="str">
        <f>IFERROR(__xludf.DUMMYFUNCTION("TRIM(INDEX(SPLIT(C264,""-""),2))"),"Yos Sudarso")</f>
        <v>Yos Sudarso</v>
      </c>
      <c r="I264" s="3"/>
      <c r="J264" s="7">
        <v>0.504228</v>
      </c>
      <c r="K264" s="7">
        <v>117.5340054</v>
      </c>
    </row>
    <row r="265">
      <c r="A265" s="3">
        <f t="shared" si="1"/>
        <v>264</v>
      </c>
      <c r="B265" s="4" t="s">
        <v>10</v>
      </c>
      <c r="C265" s="5" t="s">
        <v>590</v>
      </c>
      <c r="D265" s="6" t="s">
        <v>591</v>
      </c>
      <c r="E265" s="3"/>
      <c r="F265" s="3" t="str">
        <f>IFERROR(__xludf.DUMMYFUNCTION("SWITCH(
  TRUE,
  REGEXMATCH(B265,""Brain Academy""),""BAC"",
  REGEXMATCH(B265,""English Academy""),""EAC"",
  """"
)&amp;"" ""&amp;IFERROR(TRIM(INDEX(SPLIT(C265,""-""),2)),C265)"),"BAC Jendral Sudirman")</f>
        <v>BAC Jendral Sudirman</v>
      </c>
      <c r="G265" s="3" t="str">
        <f>IFERROR(__xludf.DUMMYFUNCTION("TRIM(INDEX(SPLIT(C265,""-""),1))"),"Tarakan")</f>
        <v>Tarakan</v>
      </c>
      <c r="H265" s="3" t="str">
        <f>IFERROR(__xludf.DUMMYFUNCTION("TRIM(INDEX(SPLIT(C265,""-""),2))"),"Jendral Sudirman")</f>
        <v>Jendral Sudirman</v>
      </c>
      <c r="I265" s="3"/>
      <c r="J265" s="7">
        <v>3.3107102</v>
      </c>
      <c r="K265" s="7">
        <v>117.5957403</v>
      </c>
    </row>
    <row r="266">
      <c r="A266" s="3">
        <f t="shared" si="1"/>
        <v>265</v>
      </c>
      <c r="B266" s="4" t="s">
        <v>10</v>
      </c>
      <c r="C266" s="5" t="s">
        <v>592</v>
      </c>
      <c r="D266" s="6" t="s">
        <v>593</v>
      </c>
      <c r="E266" s="3"/>
      <c r="F266" s="3" t="str">
        <f>IFERROR(__xludf.DUMMYFUNCTION("SWITCH(
  TRUE,
  REGEXMATCH(B266,""Brain Academy""),""BAC"",
  REGEXMATCH(B266,""English Academy""),""EAC"",
  """"
)&amp;"" ""&amp;IFERROR(TRIM(INDEX(SPLIT(C266,""-""),2)),C266)"),"BAC Sultan Hasanuddin")</f>
        <v>BAC Sultan Hasanuddin</v>
      </c>
      <c r="G266" s="3" t="str">
        <f>IFERROR(__xludf.DUMMYFUNCTION("TRIM(INDEX(SPLIT(C266,""-""),1))"),"Pangkep")</f>
        <v>Pangkep</v>
      </c>
      <c r="H266" s="3" t="str">
        <f>IFERROR(__xludf.DUMMYFUNCTION("TRIM(INDEX(SPLIT(C266,""-""),2))"),"Sultan Hasanuddin")</f>
        <v>Sultan Hasanuddin</v>
      </c>
      <c r="I266" s="3"/>
      <c r="J266" s="7">
        <v>-4.8477886</v>
      </c>
      <c r="K266" s="7">
        <v>119.5595918</v>
      </c>
    </row>
    <row r="267">
      <c r="A267" s="3">
        <f t="shared" si="1"/>
        <v>266</v>
      </c>
      <c r="B267" s="4" t="s">
        <v>10</v>
      </c>
      <c r="C267" s="5" t="s">
        <v>594</v>
      </c>
      <c r="D267" s="6" t="s">
        <v>595</v>
      </c>
      <c r="E267" s="3"/>
      <c r="F267" s="3" t="str">
        <f>IFERROR(__xludf.DUMMYFUNCTION("SWITCH(
  TRUE,
  REGEXMATCH(B267,""Brain Academy""),""BAC"",
  REGEXMATCH(B267,""English Academy""),""EAC"",
  """"
)&amp;"" ""&amp;IFERROR(TRIM(INDEX(SPLIT(C267,""-""),2)),C267)"),"BAC Jend. Sudirman")</f>
        <v>BAC Jend. Sudirman</v>
      </c>
      <c r="G267" s="3" t="str">
        <f>IFERROR(__xludf.DUMMYFUNCTION("TRIM(INDEX(SPLIT(C267,""-""),1))"),"Pinrang")</f>
        <v>Pinrang</v>
      </c>
      <c r="H267" s="3" t="str">
        <f>IFERROR(__xludf.DUMMYFUNCTION("TRIM(INDEX(SPLIT(C267,""-""),2))"),"Jend. Sudirman")</f>
        <v>Jend. Sudirman</v>
      </c>
      <c r="I267" s="3"/>
      <c r="J267" s="7">
        <v>-3.7959342</v>
      </c>
      <c r="K267" s="7">
        <v>119.6515648</v>
      </c>
    </row>
    <row r="268">
      <c r="A268" s="3">
        <f t="shared" si="1"/>
        <v>267</v>
      </c>
      <c r="B268" s="4" t="s">
        <v>10</v>
      </c>
      <c r="C268" s="5" t="s">
        <v>596</v>
      </c>
      <c r="D268" s="6" t="s">
        <v>597</v>
      </c>
      <c r="E268" s="3"/>
      <c r="F268" s="3" t="str">
        <f>IFERROR(__xludf.DUMMYFUNCTION("SWITCH(
  TRUE,
  REGEXMATCH(B268,""Brain Academy""),""BAC"",
  REGEXMATCH(B268,""English Academy""),""EAC"",
  """"
)&amp;"" ""&amp;IFERROR(TRIM(INDEX(SPLIT(C268,""-""),2)),C268)"),"BAC Jend. Sudirman")</f>
        <v>BAC Jend. Sudirman</v>
      </c>
      <c r="G268" s="3" t="str">
        <f>IFERROR(__xludf.DUMMYFUNCTION("TRIM(INDEX(SPLIT(C268,""-""),1))"),"Wajo")</f>
        <v>Wajo</v>
      </c>
      <c r="H268" s="3" t="str">
        <f>IFERROR(__xludf.DUMMYFUNCTION("TRIM(INDEX(SPLIT(C268,""-""),2))"),"Jend. Sudirman")</f>
        <v>Jend. Sudirman</v>
      </c>
      <c r="I268" s="3"/>
      <c r="J268" s="7">
        <v>-4.135071</v>
      </c>
      <c r="K268" s="7">
        <v>120.0307108</v>
      </c>
    </row>
    <row r="269">
      <c r="A269" s="3">
        <f t="shared" si="1"/>
        <v>268</v>
      </c>
      <c r="B269" s="4" t="s">
        <v>10</v>
      </c>
      <c r="C269" s="5" t="s">
        <v>598</v>
      </c>
      <c r="D269" s="6" t="s">
        <v>599</v>
      </c>
      <c r="E269" s="3"/>
      <c r="F269" s="3" t="str">
        <f>IFERROR(__xludf.DUMMYFUNCTION("SWITCH(
  TRUE,
  REGEXMATCH(B269,""Brain Academy""),""BAC"",
  REGEXMATCH(B269,""English Academy""),""EAC"",
  """"
)&amp;"" ""&amp;IFERROR(TRIM(INDEX(SPLIT(C269,""-""),2)),C269)"),"BAC Mattirotasi")</f>
        <v>BAC Mattirotasi</v>
      </c>
      <c r="G269" s="3" t="str">
        <f>IFERROR(__xludf.DUMMYFUNCTION("TRIM(INDEX(SPLIT(C269,""-""),1))"),"Parepare")</f>
        <v>Parepare</v>
      </c>
      <c r="H269" s="3" t="str">
        <f>IFERROR(__xludf.DUMMYFUNCTION("TRIM(INDEX(SPLIT(C269,""-""),2))"),"Mattirotasi")</f>
        <v>Mattirotasi</v>
      </c>
      <c r="I269" s="3"/>
      <c r="J269" s="7">
        <v>-4.0256749</v>
      </c>
      <c r="K269" s="7">
        <v>119.6241838</v>
      </c>
    </row>
    <row r="270">
      <c r="A270" s="3">
        <f t="shared" si="1"/>
        <v>269</v>
      </c>
      <c r="B270" s="4" t="s">
        <v>10</v>
      </c>
      <c r="C270" s="5" t="s">
        <v>600</v>
      </c>
      <c r="D270" s="6" t="s">
        <v>601</v>
      </c>
      <c r="E270" s="3"/>
      <c r="F270" s="3" t="str">
        <f>IFERROR(__xludf.DUMMYFUNCTION("SWITCH(
  TRUE,
  REGEXMATCH(B270,""Brain Academy""),""BAC"",
  REGEXMATCH(B270,""English Academy""),""EAC"",
  """"
)&amp;"" ""&amp;IFERROR(TRIM(INDEX(SPLIT(C270,""-""),2)),C270)"),"BAC Makale")</f>
        <v>BAC Makale</v>
      </c>
      <c r="G270" s="3" t="str">
        <f>IFERROR(__xludf.DUMMYFUNCTION("TRIM(INDEX(SPLIT(C270,""-""),1))"),"Tana Toraja")</f>
        <v>Tana Toraja</v>
      </c>
      <c r="H270" s="3" t="str">
        <f>IFERROR(__xludf.DUMMYFUNCTION("TRIM(INDEX(SPLIT(C270,""-""),2))"),"Makale")</f>
        <v>Makale</v>
      </c>
      <c r="I270" s="3"/>
      <c r="J270" s="7">
        <v>-3.0892482</v>
      </c>
      <c r="K270" s="7">
        <v>119.8484646</v>
      </c>
    </row>
    <row r="271">
      <c r="A271" s="3">
        <f t="shared" si="1"/>
        <v>270</v>
      </c>
      <c r="B271" s="4" t="s">
        <v>10</v>
      </c>
      <c r="C271" s="5" t="s">
        <v>602</v>
      </c>
      <c r="D271" s="6" t="s">
        <v>603</v>
      </c>
      <c r="E271" s="3"/>
      <c r="F271" s="3" t="str">
        <f>IFERROR(__xludf.DUMMYFUNCTION("SWITCH(
  TRUE,
  REGEXMATCH(B271,""Brain Academy""),""BAC"",
  REGEXMATCH(B271,""English Academy""),""EAC"",
  """"
)&amp;"" ""&amp;IFERROR(TRIM(INDEX(SPLIT(C271,""-""),2)),C271)"),"BAC Moh. Hatta")</f>
        <v>BAC Moh. Hatta</v>
      </c>
      <c r="G271" s="3" t="str">
        <f>IFERROR(__xludf.DUMMYFUNCTION("TRIM(INDEX(SPLIT(C271,""-""),1))"),"Luwuk Banggai")</f>
        <v>Luwuk Banggai</v>
      </c>
      <c r="H271" s="3" t="str">
        <f>IFERROR(__xludf.DUMMYFUNCTION("TRIM(INDEX(SPLIT(C271,""-""),2))"),"Moh. Hatta")</f>
        <v>Moh. Hatta</v>
      </c>
      <c r="I271" s="3"/>
      <c r="J271" s="7">
        <v>-0.9628596</v>
      </c>
      <c r="K271" s="7">
        <v>122.7907659</v>
      </c>
    </row>
    <row r="272">
      <c r="A272" s="3">
        <f t="shared" si="1"/>
        <v>271</v>
      </c>
      <c r="B272" s="4" t="s">
        <v>10</v>
      </c>
      <c r="C272" s="5" t="s">
        <v>604</v>
      </c>
      <c r="D272" s="6" t="s">
        <v>605</v>
      </c>
      <c r="E272" s="3"/>
      <c r="F272" s="3" t="str">
        <f>IFERROR(__xludf.DUMMYFUNCTION("SWITCH(
  TRUE,
  REGEXMATCH(B272,""Brain Academy""),""BAC"",
  REGEXMATCH(B272,""English Academy""),""EAC"",
  """"
)&amp;"" ""&amp;IFERROR(TRIM(INDEX(SPLIT(C272,""-""),2)),C272)"),"BAC Girian")</f>
        <v>BAC Girian</v>
      </c>
      <c r="G272" s="3" t="str">
        <f>IFERROR(__xludf.DUMMYFUNCTION("TRIM(INDEX(SPLIT(C272,""-""),1))"),"Bitung")</f>
        <v>Bitung</v>
      </c>
      <c r="H272" s="3" t="str">
        <f>IFERROR(__xludf.DUMMYFUNCTION("TRIM(INDEX(SPLIT(C272,""-""),2))"),"Girian")</f>
        <v>Girian</v>
      </c>
      <c r="I272" s="3"/>
      <c r="J272" s="7">
        <v>1.4398986</v>
      </c>
      <c r="K272" s="7">
        <v>125.1351304</v>
      </c>
    </row>
    <row r="273">
      <c r="A273" s="3">
        <f t="shared" si="1"/>
        <v>272</v>
      </c>
      <c r="B273" s="4" t="s">
        <v>10</v>
      </c>
      <c r="C273" s="5" t="s">
        <v>606</v>
      </c>
      <c r="D273" s="6" t="s">
        <v>607</v>
      </c>
      <c r="E273" s="3"/>
      <c r="F273" s="3" t="str">
        <f>IFERROR(__xludf.DUMMYFUNCTION("SWITCH(
  TRUE,
  REGEXMATCH(B273,""Brain Academy""),""BAC"",
  REGEXMATCH(B273,""English Academy""),""EAC"",
  """"
)&amp;"" ""&amp;IFERROR(TRIM(INDEX(SPLIT(C273,""-""),2)),C273)"),"BAC Nani Wartabone")</f>
        <v>BAC Nani Wartabone</v>
      </c>
      <c r="G273" s="3" t="str">
        <f>IFERROR(__xludf.DUMMYFUNCTION("TRIM(INDEX(SPLIT(C273,""-""),1))"),"Gorontalo")</f>
        <v>Gorontalo</v>
      </c>
      <c r="H273" s="3" t="str">
        <f>IFERROR(__xludf.DUMMYFUNCTION("TRIM(INDEX(SPLIT(C273,""-""),2))"),"Nani Wartabone")</f>
        <v>Nani Wartabone</v>
      </c>
      <c r="I273" s="3"/>
      <c r="J273" s="7">
        <v>0.5476152</v>
      </c>
      <c r="K273" s="7">
        <v>123.0624281</v>
      </c>
    </row>
    <row r="274">
      <c r="A274" s="3">
        <f t="shared" si="1"/>
        <v>273</v>
      </c>
      <c r="B274" s="4" t="s">
        <v>10</v>
      </c>
      <c r="C274" s="5" t="s">
        <v>608</v>
      </c>
      <c r="D274" s="6" t="s">
        <v>609</v>
      </c>
      <c r="E274" s="3"/>
      <c r="F274" s="3" t="str">
        <f>IFERROR(__xludf.DUMMYFUNCTION("SWITCH(
  TRUE,
  REGEXMATCH(B274,""Brain Academy""),""BAC"",
  REGEXMATCH(B274,""English Academy""),""EAC"",
  """"
)&amp;"" ""&amp;IFERROR(TRIM(INDEX(SPLIT(C274,""-""),2)),C274)"),"BAC Matani")</f>
        <v>BAC Matani</v>
      </c>
      <c r="G274" s="3" t="str">
        <f>IFERROR(__xludf.DUMMYFUNCTION("TRIM(INDEX(SPLIT(C274,""-""),1))"),"Tomohon")</f>
        <v>Tomohon</v>
      </c>
      <c r="H274" s="3" t="str">
        <f>IFERROR(__xludf.DUMMYFUNCTION("TRIM(INDEX(SPLIT(C274,""-""),2))"),"Matani")</f>
        <v>Matani</v>
      </c>
      <c r="I274" s="3"/>
      <c r="J274" s="7">
        <v>1.3174897</v>
      </c>
      <c r="K274" s="7">
        <v>124.8380735</v>
      </c>
    </row>
    <row r="275">
      <c r="A275" s="3">
        <f t="shared" si="1"/>
        <v>274</v>
      </c>
      <c r="B275" s="4" t="s">
        <v>10</v>
      </c>
      <c r="C275" s="5" t="s">
        <v>610</v>
      </c>
      <c r="D275" s="6" t="s">
        <v>611</v>
      </c>
      <c r="E275" s="3"/>
      <c r="F275" s="3" t="str">
        <f>IFERROR(__xludf.DUMMYFUNCTION("SWITCH(
  TRUE,
  REGEXMATCH(B275,""Brain Academy""),""BAC"",
  REGEXMATCH(B275,""English Academy""),""EAC"",
  """"
)&amp;"" ""&amp;IFERROR(TRIM(INDEX(SPLIT(C275,""-""),2)),C275)"),"BAC Batara Guru")</f>
        <v>BAC Batara Guru</v>
      </c>
      <c r="G275" s="3" t="str">
        <f>IFERROR(__xludf.DUMMYFUNCTION("TRIM(INDEX(SPLIT(C275,""-""),1))"),"BauBau")</f>
        <v>BauBau</v>
      </c>
      <c r="H275" s="3" t="str">
        <f>IFERROR(__xludf.DUMMYFUNCTION("TRIM(INDEX(SPLIT(C275,""-""),2))"),"Batara Guru")</f>
        <v>Batara Guru</v>
      </c>
      <c r="I275" s="3"/>
      <c r="J275" s="7">
        <v>-5.4617884</v>
      </c>
      <c r="K275" s="7">
        <v>122.6024428</v>
      </c>
    </row>
    <row r="276">
      <c r="A276" s="3">
        <f t="shared" si="1"/>
        <v>275</v>
      </c>
      <c r="B276" s="4" t="s">
        <v>10</v>
      </c>
      <c r="C276" s="5" t="s">
        <v>612</v>
      </c>
      <c r="D276" s="6" t="s">
        <v>613</v>
      </c>
      <c r="E276" s="3"/>
      <c r="F276" s="3" t="str">
        <f>IFERROR(__xludf.DUMMYFUNCTION("SWITCH(
  TRUE,
  REGEXMATCH(B276,""Brain Academy""),""BAC"",
  REGEXMATCH(B276,""English Academy""),""EAC"",
  """"
)&amp;"" ""&amp;IFERROR(TRIM(INDEX(SPLIT(C276,""-""),2)),C276)"),"BAC Pramuka")</f>
        <v>BAC Pramuka</v>
      </c>
      <c r="G276" s="3" t="str">
        <f>IFERROR(__xludf.DUMMYFUNCTION("TRIM(INDEX(SPLIT(C276,""-""),1))"),"Kolaka")</f>
        <v>Kolaka</v>
      </c>
      <c r="H276" s="3" t="str">
        <f>IFERROR(__xludf.DUMMYFUNCTION("TRIM(INDEX(SPLIT(C276,""-""),2))"),"Pramuka")</f>
        <v>Pramuka</v>
      </c>
      <c r="I276" s="3"/>
      <c r="J276" s="7">
        <v>-4.0566768</v>
      </c>
      <c r="K276" s="7">
        <v>121.5977227</v>
      </c>
    </row>
    <row r="277">
      <c r="A277" s="3">
        <f t="shared" si="1"/>
        <v>276</v>
      </c>
      <c r="B277" s="4" t="s">
        <v>10</v>
      </c>
      <c r="C277" s="5" t="s">
        <v>614</v>
      </c>
      <c r="D277" s="6" t="s">
        <v>615</v>
      </c>
      <c r="E277" s="3"/>
      <c r="F277" s="3" t="str">
        <f>IFERROR(__xludf.DUMMYFUNCTION("SWITCH(
  TRUE,
  REGEXMATCH(B277,""Brain Academy""),""BAC"",
  REGEXMATCH(B277,""English Academy""),""EAC"",
  """"
)&amp;"" ""&amp;IFERROR(TRIM(INDEX(SPLIT(C277,""-""),2)),C277)"),"BAC Takoma")</f>
        <v>BAC Takoma</v>
      </c>
      <c r="G277" s="3" t="str">
        <f>IFERROR(__xludf.DUMMYFUNCTION("TRIM(INDEX(SPLIT(C277,""-""),1))"),"Ternate")</f>
        <v>Ternate</v>
      </c>
      <c r="H277" s="3" t="str">
        <f>IFERROR(__xludf.DUMMYFUNCTION("TRIM(INDEX(SPLIT(C277,""-""),2))"),"Takoma")</f>
        <v>Takoma</v>
      </c>
      <c r="I277" s="3"/>
      <c r="J277" s="7">
        <v>0.7817115</v>
      </c>
      <c r="K277" s="7">
        <v>127.3840825</v>
      </c>
    </row>
    <row r="278">
      <c r="A278" s="3">
        <f t="shared" si="1"/>
        <v>277</v>
      </c>
      <c r="B278" s="4" t="s">
        <v>10</v>
      </c>
      <c r="C278" s="5" t="s">
        <v>616</v>
      </c>
      <c r="D278" s="6" t="s">
        <v>617</v>
      </c>
      <c r="E278" s="3"/>
      <c r="F278" s="3" t="str">
        <f>IFERROR(__xludf.DUMMYFUNCTION("SWITCH(
  TRUE,
  REGEXMATCH(B278,""Brain Academy""),""BAC"",
  REGEXMATCH(B278,""English Academy""),""EAC"",
  """"
)&amp;"" ""&amp;IFERROR(TRIM(INDEX(SPLIT(C278,""-""),2)),C278)"),"BAC Pramuka")</f>
        <v>BAC Pramuka</v>
      </c>
      <c r="G278" s="3" t="str">
        <f>IFERROR(__xludf.DUMMYFUNCTION("TRIM(INDEX(SPLIT(C278,""-""),1))"),"Sorong")</f>
        <v>Sorong</v>
      </c>
      <c r="H278" s="3" t="str">
        <f>IFERROR(__xludf.DUMMYFUNCTION("TRIM(INDEX(SPLIT(C278,""-""),2))"),"Pramuka")</f>
        <v>Pramuka</v>
      </c>
      <c r="I278" s="3"/>
      <c r="J278" s="7">
        <v>-0.8826915999999999</v>
      </c>
      <c r="K278" s="7">
        <v>131.2859518</v>
      </c>
    </row>
    <row r="279">
      <c r="A279" s="3">
        <f t="shared" si="1"/>
        <v>278</v>
      </c>
      <c r="B279" s="4" t="s">
        <v>10</v>
      </c>
      <c r="C279" s="5" t="s">
        <v>618</v>
      </c>
      <c r="D279" s="6" t="s">
        <v>619</v>
      </c>
      <c r="E279" s="3"/>
      <c r="F279" s="3" t="str">
        <f>IFERROR(__xludf.DUMMYFUNCTION("SWITCH(
  TRUE,
  REGEXMATCH(B279,""Brain Academy""),""BAC"",
  REGEXMATCH(B279,""English Academy""),""EAC"",
  """"
)&amp;"" ""&amp;IFERROR(TRIM(INDEX(SPLIT(C279,""-""),2)),C279)"),"BAC Rangkasbitung")</f>
        <v>BAC Rangkasbitung</v>
      </c>
      <c r="G279" s="3" t="str">
        <f>IFERROR(__xludf.DUMMYFUNCTION("TRIM(INDEX(SPLIT(C279,""-""),1))"),"Lebak")</f>
        <v>Lebak</v>
      </c>
      <c r="H279" s="3" t="str">
        <f>IFERROR(__xludf.DUMMYFUNCTION("TRIM(INDEX(SPLIT(C279,""-""),2))"),"Rangkasbitung")</f>
        <v>Rangkasbitung</v>
      </c>
      <c r="I279" s="3"/>
      <c r="J279" s="7">
        <v>-6.3422058</v>
      </c>
      <c r="K279" s="7">
        <v>106.2392847</v>
      </c>
    </row>
    <row r="280">
      <c r="A280" s="3">
        <f t="shared" si="1"/>
        <v>279</v>
      </c>
      <c r="B280" s="4" t="s">
        <v>10</v>
      </c>
      <c r="C280" s="5" t="s">
        <v>620</v>
      </c>
      <c r="D280" s="6" t="s">
        <v>621</v>
      </c>
      <c r="E280" s="3"/>
      <c r="F280" s="3" t="str">
        <f>IFERROR(__xludf.DUMMYFUNCTION("SWITCH(
  TRUE,
  REGEXMATCH(B280,""Brain Academy""),""BAC"",
  REGEXMATCH(B280,""English Academy""),""EAC"",
  """"
)&amp;"" ""&amp;IFERROR(TRIM(INDEX(SPLIT(C280,""-""),2)),C280)"),"BAC Gajah Mada")</f>
        <v>BAC Gajah Mada</v>
      </c>
      <c r="G280" s="3" t="str">
        <f>IFERROR(__xludf.DUMMYFUNCTION("TRIM(INDEX(SPLIT(C280,""-""),1))"),"Bima")</f>
        <v>Bima</v>
      </c>
      <c r="H280" s="3" t="str">
        <f>IFERROR(__xludf.DUMMYFUNCTION("TRIM(INDEX(SPLIT(C280,""-""),2))"),"Gajah Mada")</f>
        <v>Gajah Mada</v>
      </c>
      <c r="I280" s="3"/>
      <c r="J280" s="7">
        <v>-8.4605164</v>
      </c>
      <c r="K280" s="7">
        <v>118.7546082</v>
      </c>
    </row>
    <row r="281">
      <c r="A281" s="3">
        <f t="shared" si="1"/>
        <v>280</v>
      </c>
      <c r="B281" s="4" t="s">
        <v>10</v>
      </c>
      <c r="C281" s="5" t="s">
        <v>622</v>
      </c>
      <c r="D281" s="6" t="s">
        <v>623</v>
      </c>
      <c r="E281" s="3"/>
      <c r="F281" s="3" t="str">
        <f>IFERROR(__xludf.DUMMYFUNCTION("SWITCH(
  TRUE,
  REGEXMATCH(B281,""Brain Academy""),""BAC"",
  REGEXMATCH(B281,""English Academy""),""EAC"",
  """"
)&amp;"" ""&amp;IFERROR(TRIM(INDEX(SPLIT(C281,""-""),2)),C281)"),"BAC R. Suprapto")</f>
        <v>BAC R. Suprapto</v>
      </c>
      <c r="G281" s="3" t="str">
        <f>IFERROR(__xludf.DUMMYFUNCTION("TRIM(INDEX(SPLIT(C281,""-""),1))"),"Ketapang")</f>
        <v>Ketapang</v>
      </c>
      <c r="H281" s="3" t="str">
        <f>IFERROR(__xludf.DUMMYFUNCTION("TRIM(INDEX(SPLIT(C281,""-""),2))"),"R. Suprapto")</f>
        <v>R. Suprapto</v>
      </c>
      <c r="I281" s="3"/>
      <c r="J281" s="7">
        <v>-1.8427601</v>
      </c>
      <c r="K281" s="7">
        <v>109.9688669</v>
      </c>
    </row>
    <row r="282">
      <c r="A282" s="3">
        <f t="shared" si="1"/>
        <v>281</v>
      </c>
      <c r="B282" s="4" t="s">
        <v>10</v>
      </c>
      <c r="C282" s="5" t="s">
        <v>624</v>
      </c>
      <c r="D282" s="6" t="s">
        <v>625</v>
      </c>
      <c r="E282" s="3"/>
      <c r="F282" s="3" t="str">
        <f>IFERROR(__xludf.DUMMYFUNCTION("SWITCH(
  TRUE,
  REGEXMATCH(B282,""Brain Academy""),""BAC"",
  REGEXMATCH(B282,""English Academy""),""EAC"",
  """"
)&amp;"" ""&amp;IFERROR(TRIM(INDEX(SPLIT(C282,""-""),2)),C282)"),"BAC R. Suprapto")</f>
        <v>BAC R. Suprapto</v>
      </c>
      <c r="G282" s="3" t="str">
        <f>IFERROR(__xludf.DUMMYFUNCTION("TRIM(INDEX(SPLIT(C282,""-""),1))"),"Rengat")</f>
        <v>Rengat</v>
      </c>
      <c r="H282" s="3" t="str">
        <f>IFERROR(__xludf.DUMMYFUNCTION("TRIM(INDEX(SPLIT(C282,""-""),2))"),"R. Suprapto")</f>
        <v>R. Suprapto</v>
      </c>
      <c r="I282" s="3"/>
      <c r="J282" s="7">
        <v>-0.3748481</v>
      </c>
      <c r="K282" s="7">
        <v>102.5474924</v>
      </c>
    </row>
    <row r="283">
      <c r="A283" s="3">
        <f t="shared" si="1"/>
        <v>282</v>
      </c>
      <c r="B283" s="4" t="s">
        <v>10</v>
      </c>
      <c r="C283" s="5" t="s">
        <v>626</v>
      </c>
      <c r="D283" s="6" t="s">
        <v>627</v>
      </c>
      <c r="E283" s="3"/>
      <c r="F283" s="3" t="str">
        <f>IFERROR(__xludf.DUMMYFUNCTION("SWITCH(
  TRUE,
  REGEXMATCH(B283,""Brain Academy""),""BAC"",
  REGEXMATCH(B283,""English Academy""),""EAC"",
  """"
)&amp;"" ""&amp;IFERROR(TRIM(INDEX(SPLIT(C283,""-""),2)),C283)"),"BAC M Boya")</f>
        <v>BAC M Boya</v>
      </c>
      <c r="G283" s="3" t="str">
        <f>IFERROR(__xludf.DUMMYFUNCTION("TRIM(INDEX(SPLIT(C283,""-""),1))"),"Tembilahan")</f>
        <v>Tembilahan</v>
      </c>
      <c r="H283" s="3" t="str">
        <f>IFERROR(__xludf.DUMMYFUNCTION("TRIM(INDEX(SPLIT(C283,""-""),2))"),"M Boya")</f>
        <v>M Boya</v>
      </c>
      <c r="I283" s="3"/>
      <c r="J283" s="7">
        <v>-0.3223996</v>
      </c>
      <c r="K283" s="7">
        <v>103.1561235</v>
      </c>
    </row>
    <row r="284">
      <c r="A284" s="3">
        <f t="shared" si="1"/>
        <v>283</v>
      </c>
      <c r="B284" s="4" t="s">
        <v>10</v>
      </c>
      <c r="C284" s="5" t="s">
        <v>628</v>
      </c>
      <c r="D284" s="6" t="s">
        <v>629</v>
      </c>
      <c r="E284" s="3"/>
      <c r="F284" s="3" t="str">
        <f>IFERROR(__xludf.DUMMYFUNCTION("SWITCH(
  TRUE,
  REGEXMATCH(B284,""Brain Academy""),""BAC"",
  REGEXMATCH(B284,""English Academy""),""EAC"",
  """"
)&amp;"" ""&amp;IFERROR(TRIM(INDEX(SPLIT(C284,""-""),2)),C284)"),"BAC Batu Lipai")</f>
        <v>BAC Batu Lipai</v>
      </c>
      <c r="G284" s="3" t="str">
        <f>IFERROR(__xludf.DUMMYFUNCTION("TRIM(INDEX(SPLIT(C284,""-""),1))"),"Tanjung Balai Karimun")</f>
        <v>Tanjung Balai Karimun</v>
      </c>
      <c r="H284" s="3" t="str">
        <f>IFERROR(__xludf.DUMMYFUNCTION("TRIM(INDEX(SPLIT(C284,""-""),2))"),"Batu Lipai")</f>
        <v>Batu Lipai</v>
      </c>
      <c r="I284" s="3"/>
      <c r="J284" s="7">
        <v>1.0030138</v>
      </c>
      <c r="K284" s="7">
        <v>103.4089865</v>
      </c>
    </row>
    <row r="285">
      <c r="A285" s="3">
        <f t="shared" si="1"/>
        <v>284</v>
      </c>
      <c r="B285" s="4" t="s">
        <v>10</v>
      </c>
      <c r="C285" s="5" t="s">
        <v>630</v>
      </c>
      <c r="D285" s="6" t="s">
        <v>631</v>
      </c>
      <c r="E285" s="3"/>
      <c r="F285" s="3" t="str">
        <f>IFERROR(__xludf.DUMMYFUNCTION("SWITCH(
  TRUE,
  REGEXMATCH(B285,""Brain Academy""),""BAC"",
  REGEXMATCH(B285,""English Academy""),""EAC"",
  """"
)&amp;"" ""&amp;IFERROR(TRIM(INDEX(SPLIT(C285,""-""),2)),C285)"),"BAC Argamakmur")</f>
        <v>BAC Argamakmur</v>
      </c>
      <c r="G285" s="3" t="str">
        <f>IFERROR(__xludf.DUMMYFUNCTION("TRIM(INDEX(SPLIT(C285,""-""),1))"),"Bengkulu")</f>
        <v>Bengkulu</v>
      </c>
      <c r="H285" s="3" t="str">
        <f>IFERROR(__xludf.DUMMYFUNCTION("TRIM(INDEX(SPLIT(C285,""-""),2))"),"Argamakmur")</f>
        <v>Argamakmur</v>
      </c>
      <c r="I285" s="3"/>
      <c r="J285" s="7">
        <v>-3.4427966</v>
      </c>
      <c r="K285" s="7">
        <v>102.1757032</v>
      </c>
    </row>
    <row r="286">
      <c r="A286" s="3">
        <f t="shared" si="1"/>
        <v>285</v>
      </c>
      <c r="B286" s="4" t="s">
        <v>10</v>
      </c>
      <c r="C286" s="5" t="s">
        <v>632</v>
      </c>
      <c r="D286" s="6" t="s">
        <v>633</v>
      </c>
      <c r="E286" s="3"/>
      <c r="F286" s="3" t="str">
        <f>IFERROR(__xludf.DUMMYFUNCTION("SWITCH(
  TRUE,
  REGEXMATCH(B286,""Brain Academy""),""BAC"",
  REGEXMATCH(B286,""English Academy""),""EAC"",
  """"
)&amp;"" ""&amp;IFERROR(TRIM(INDEX(SPLIT(C286,""-""),2)),C286)"),"BAC Pahlawan")</f>
        <v>BAC Pahlawan</v>
      </c>
      <c r="G286" s="3" t="str">
        <f>IFERROR(__xludf.DUMMYFUNCTION("TRIM(INDEX(SPLIT(C286,""-""),1))"),"Kayu Agung")</f>
        <v>Kayu Agung</v>
      </c>
      <c r="H286" s="3" t="str">
        <f>IFERROR(__xludf.DUMMYFUNCTION("TRIM(INDEX(SPLIT(C286,""-""),2))"),"Pahlawan")</f>
        <v>Pahlawan</v>
      </c>
      <c r="I286" s="3"/>
      <c r="J286" s="7">
        <v>-3.4047434</v>
      </c>
      <c r="K286" s="7">
        <v>104.8254286</v>
      </c>
    </row>
    <row r="287">
      <c r="A287" s="3">
        <f t="shared" si="1"/>
        <v>286</v>
      </c>
      <c r="B287" s="4" t="s">
        <v>10</v>
      </c>
      <c r="C287" s="5" t="s">
        <v>634</v>
      </c>
      <c r="D287" s="6" t="s">
        <v>635</v>
      </c>
      <c r="E287" s="3"/>
      <c r="F287" s="3" t="str">
        <f>IFERROR(__xludf.DUMMYFUNCTION("SWITCH(
  TRUE,
  REGEXMATCH(B287,""Brain Academy""),""BAC"",
  REGEXMATCH(B287,""English Academy""),""EAC"",
  """"
)&amp;"" ""&amp;IFERROR(TRIM(INDEX(SPLIT(C287,""-""),2)),C287)"),"BAC Bangko")</f>
        <v>BAC Bangko</v>
      </c>
      <c r="G287" s="3" t="str">
        <f>IFERROR(__xludf.DUMMYFUNCTION("TRIM(INDEX(SPLIT(C287,""-""),1))"),"Merangin")</f>
        <v>Merangin</v>
      </c>
      <c r="H287" s="3" t="str">
        <f>IFERROR(__xludf.DUMMYFUNCTION("TRIM(INDEX(SPLIT(C287,""-""),2))"),"Bangko")</f>
        <v>Bangko</v>
      </c>
      <c r="I287" s="3"/>
      <c r="J287" s="7">
        <v>-2.0561596</v>
      </c>
      <c r="K287" s="7">
        <v>102.2802989</v>
      </c>
    </row>
    <row r="288">
      <c r="A288" s="3">
        <f t="shared" si="1"/>
        <v>287</v>
      </c>
      <c r="B288" s="4" t="s">
        <v>10</v>
      </c>
      <c r="C288" s="5" t="s">
        <v>636</v>
      </c>
      <c r="D288" s="6" t="s">
        <v>637</v>
      </c>
      <c r="E288" s="3"/>
      <c r="F288" s="3" t="str">
        <f>IFERROR(__xludf.DUMMYFUNCTION("SWITCH(
  TRUE,
  REGEXMATCH(B288,""Brain Academy""),""BAC"",
  REGEXMATCH(B288,""English Academy""),""EAC"",
  """"
)&amp;"" ""&amp;IFERROR(TRIM(INDEX(SPLIT(C288,""-""),2)),C288)"),"BAC KH. Wahid Hasyim")</f>
        <v>BAC KH. Wahid Hasyim</v>
      </c>
      <c r="G288" s="3" t="str">
        <f>IFERROR(__xludf.DUMMYFUNCTION("TRIM(INDEX(SPLIT(C288,""-""),1))"),"Toli Toli")</f>
        <v>Toli Toli</v>
      </c>
      <c r="H288" s="3" t="str">
        <f>IFERROR(__xludf.DUMMYFUNCTION("TRIM(INDEX(SPLIT(C288,""-""),2))"),"KH. Wahid Hasyim")</f>
        <v>KH. Wahid Hasyim</v>
      </c>
      <c r="I288" s="3"/>
      <c r="J288" s="7">
        <v>1.0309512</v>
      </c>
      <c r="K288" s="7">
        <v>120.8181307</v>
      </c>
    </row>
    <row r="289">
      <c r="A289" s="3">
        <f t="shared" si="1"/>
        <v>288</v>
      </c>
      <c r="B289" s="4" t="s">
        <v>10</v>
      </c>
      <c r="C289" s="5" t="s">
        <v>638</v>
      </c>
      <c r="D289" s="6" t="s">
        <v>639</v>
      </c>
      <c r="E289" s="3"/>
      <c r="F289" s="3" t="str">
        <f>IFERROR(__xludf.DUMMYFUNCTION("SWITCH(
  TRUE,
  REGEXMATCH(B289,""Brain Academy""),""BAC"",
  REGEXMATCH(B289,""English Academy""),""EAC"",
  """"
)&amp;"" ""&amp;IFERROR(TRIM(INDEX(SPLIT(C289,""-""),2)),C289)"),"BAC Sriwijaya")</f>
        <v>BAC Sriwijaya</v>
      </c>
      <c r="G289" s="3" t="str">
        <f>IFERROR(__xludf.DUMMYFUNCTION("TRIM(INDEX(SPLIT(C289,""-""),1))"),"Tanjung Pandan")</f>
        <v>Tanjung Pandan</v>
      </c>
      <c r="H289" s="3" t="str">
        <f>IFERROR(__xludf.DUMMYFUNCTION("TRIM(INDEX(SPLIT(C289,""-""),2))"),"Sriwijaya")</f>
        <v>Sriwijaya</v>
      </c>
      <c r="I289" s="3"/>
      <c r="J289" s="7">
        <v>-2.7389746</v>
      </c>
      <c r="K289" s="7">
        <v>107.6363719</v>
      </c>
    </row>
    <row r="290">
      <c r="A290" s="3">
        <f t="shared" si="1"/>
        <v>289</v>
      </c>
      <c r="B290" s="4" t="s">
        <v>10</v>
      </c>
      <c r="C290" s="5" t="s">
        <v>640</v>
      </c>
      <c r="D290" s="6" t="s">
        <v>641</v>
      </c>
      <c r="E290" s="3"/>
      <c r="F290" s="3" t="str">
        <f>IFERROR(__xludf.DUMMYFUNCTION("SWITCH(
  TRUE,
  REGEXMATCH(B290,""Brain Academy""),""BAC"",
  REGEXMATCH(B290,""English Academy""),""EAC"",
  """"
)&amp;"" ""&amp;IFERROR(TRIM(INDEX(SPLIT(C290,""-""),2)),C290)"),"BAC Tugu")</f>
        <v>BAC Tugu</v>
      </c>
      <c r="G290" s="3" t="str">
        <f>IFERROR(__xludf.DUMMYFUNCTION("TRIM(INDEX(SPLIT(C290,""-""),1))"),"Trenggalek")</f>
        <v>Trenggalek</v>
      </c>
      <c r="H290" s="3" t="str">
        <f>IFERROR(__xludf.DUMMYFUNCTION("TRIM(INDEX(SPLIT(C290,""-""),2))"),"Tugu")</f>
        <v>Tugu</v>
      </c>
      <c r="I290" s="3"/>
      <c r="J290" s="7">
        <v>-8.0615627</v>
      </c>
      <c r="K290" s="7">
        <v>111.7074042</v>
      </c>
    </row>
    <row r="291">
      <c r="A291" s="3">
        <f t="shared" si="1"/>
        <v>290</v>
      </c>
      <c r="B291" s="4" t="s">
        <v>10</v>
      </c>
      <c r="C291" s="5" t="s">
        <v>642</v>
      </c>
      <c r="D291" s="6" t="s">
        <v>643</v>
      </c>
      <c r="E291" s="3"/>
      <c r="F291" s="3" t="str">
        <f>IFERROR(__xludf.DUMMYFUNCTION("SWITCH(
  TRUE,
  REGEXMATCH(B291,""Brain Academy""),""BAC"",
  REGEXMATCH(B291,""English Academy""),""EAC"",
  """"
)&amp;"" ""&amp;IFERROR(TRIM(INDEX(SPLIT(C291,""-""),2)),C291)"),"BAC Boyolangu")</f>
        <v>BAC Boyolangu</v>
      </c>
      <c r="G291" s="3" t="str">
        <f>IFERROR(__xludf.DUMMYFUNCTION("TRIM(INDEX(SPLIT(C291,""-""),1))"),"Tulungagung")</f>
        <v>Tulungagung</v>
      </c>
      <c r="H291" s="3" t="str">
        <f>IFERROR(__xludf.DUMMYFUNCTION("TRIM(INDEX(SPLIT(C291,""-""),2))"),"Boyolangu")</f>
        <v>Boyolangu</v>
      </c>
      <c r="I291" s="3"/>
      <c r="J291" s="7">
        <v>-8.088891</v>
      </c>
      <c r="K291" s="7">
        <v>111.9039319</v>
      </c>
    </row>
    <row r="292">
      <c r="A292" s="3">
        <f t="shared" si="1"/>
        <v>291</v>
      </c>
      <c r="B292" s="4" t="s">
        <v>10</v>
      </c>
      <c r="C292" s="5" t="s">
        <v>644</v>
      </c>
      <c r="D292" s="6" t="s">
        <v>645</v>
      </c>
      <c r="E292" s="3"/>
      <c r="F292" s="3" t="str">
        <f>IFERROR(__xludf.DUMMYFUNCTION("SWITCH(
  TRUE,
  REGEXMATCH(B292,""Brain Academy""),""BAC"",
  REGEXMATCH(B292,""English Academy""),""EAC"",
  """"
)&amp;"" ""&amp;IFERROR(TRIM(INDEX(SPLIT(C292,""-""),2)),C292)"),"BAC Pakunegara")</f>
        <v>BAC Pakunegara</v>
      </c>
      <c r="G292" s="3" t="str">
        <f>IFERROR(__xludf.DUMMYFUNCTION("TRIM(INDEX(SPLIT(C292,""-""),1))"),"Pangkalan Bun")</f>
        <v>Pangkalan Bun</v>
      </c>
      <c r="H292" s="3" t="str">
        <f>IFERROR(__xludf.DUMMYFUNCTION("TRIM(INDEX(SPLIT(C292,""-""),2))"),"Pakunegara")</f>
        <v>Pakunegara</v>
      </c>
      <c r="I292" s="3"/>
      <c r="J292" s="7">
        <v>-2.6751393</v>
      </c>
      <c r="K292" s="7">
        <v>111.6380031</v>
      </c>
    </row>
    <row r="293">
      <c r="A293" s="3">
        <f t="shared" si="1"/>
        <v>292</v>
      </c>
      <c r="B293" s="4" t="s">
        <v>10</v>
      </c>
      <c r="C293" s="5" t="s">
        <v>646</v>
      </c>
      <c r="D293" s="6" t="s">
        <v>647</v>
      </c>
      <c r="E293" s="3"/>
      <c r="F293" s="3" t="str">
        <f>IFERROR(__xludf.DUMMYFUNCTION("SWITCH(
  TRUE,
  REGEXMATCH(B293,""Brain Academy""),""BAC"",
  REGEXMATCH(B293,""English Academy""),""EAC"",
  """"
)&amp;"" ""&amp;IFERROR(TRIM(INDEX(SPLIT(C293,""-""),2)),C293)"),"BAC Ramania")</f>
        <v>BAC Ramania</v>
      </c>
      <c r="G293" s="3" t="str">
        <f>IFERROR(__xludf.DUMMYFUNCTION("TRIM(INDEX(SPLIT(C293,""-""),1))"),"Berau")</f>
        <v>Berau</v>
      </c>
      <c r="H293" s="3" t="str">
        <f>IFERROR(__xludf.DUMMYFUNCTION("TRIM(INDEX(SPLIT(C293,""-""),2))"),"Ramania")</f>
        <v>Ramania</v>
      </c>
      <c r="I293" s="3"/>
      <c r="J293" s="7">
        <v>2.1503566</v>
      </c>
      <c r="K293" s="7">
        <v>117.5026383</v>
      </c>
    </row>
    <row r="294">
      <c r="A294" s="3">
        <f t="shared" si="1"/>
        <v>293</v>
      </c>
      <c r="B294" s="4" t="s">
        <v>10</v>
      </c>
      <c r="C294" s="5" t="s">
        <v>648</v>
      </c>
      <c r="D294" s="6" t="s">
        <v>649</v>
      </c>
      <c r="E294" s="3"/>
      <c r="F294" s="3" t="str">
        <f>IFERROR(__xludf.DUMMYFUNCTION("SWITCH(
  TRUE,
  REGEXMATCH(B294,""Brain Academy""),""BAC"",
  REGEXMATCH(B294,""English Academy""),""EAC"",
  """"
)&amp;"" ""&amp;IFERROR(TRIM(INDEX(SPLIT(C294,""-""),2)),C294)"),"BAC Kelimutu")</f>
        <v>BAC Kelimutu</v>
      </c>
      <c r="G294" s="3" t="str">
        <f>IFERROR(__xludf.DUMMYFUNCTION("TRIM(INDEX(SPLIT(C294,""-""),1))"),"Ende")</f>
        <v>Ende</v>
      </c>
      <c r="H294" s="3" t="str">
        <f>IFERROR(__xludf.DUMMYFUNCTION("TRIM(INDEX(SPLIT(C294,""-""),2))"),"Kelimutu")</f>
        <v>Kelimutu</v>
      </c>
      <c r="I294" s="3"/>
      <c r="J294" s="7">
        <v>-8.8482452</v>
      </c>
      <c r="K294" s="7">
        <v>121.6574098</v>
      </c>
    </row>
    <row r="295">
      <c r="A295" s="3">
        <f t="shared" si="1"/>
        <v>294</v>
      </c>
      <c r="B295" s="4" t="s">
        <v>10</v>
      </c>
      <c r="C295" s="5" t="s">
        <v>650</v>
      </c>
      <c r="D295" s="6" t="s">
        <v>651</v>
      </c>
      <c r="E295" s="3"/>
      <c r="F295" s="3" t="str">
        <f>IFERROR(__xludf.DUMMYFUNCTION("SWITCH(
  TRUE,
  REGEXMATCH(B295,""Brain Academy""),""BAC"",
  REGEXMATCH(B295,""English Academy""),""EAC"",
  """"
)&amp;"" ""&amp;IFERROR(TRIM(INDEX(SPLIT(C295,""-""),2)),C295)"),"BAC Jend. Sudirman")</f>
        <v>BAC Jend. Sudirman</v>
      </c>
      <c r="G295" s="3" t="str">
        <f>IFERROR(__xludf.DUMMYFUNCTION("TRIM(INDEX(SPLIT(C295,""-""),1))"),"Bulukumba")</f>
        <v>Bulukumba</v>
      </c>
      <c r="H295" s="3" t="str">
        <f>IFERROR(__xludf.DUMMYFUNCTION("TRIM(INDEX(SPLIT(C295,""-""),2))"),"Jend. Sudirman")</f>
        <v>Jend. Sudirman</v>
      </c>
      <c r="I295" s="3"/>
      <c r="J295" s="7">
        <v>-5.5552326</v>
      </c>
      <c r="K295" s="7">
        <v>120.1967462</v>
      </c>
    </row>
    <row r="296">
      <c r="A296" s="3">
        <f t="shared" si="1"/>
        <v>295</v>
      </c>
      <c r="B296" s="4" t="s">
        <v>10</v>
      </c>
      <c r="C296" s="5" t="s">
        <v>652</v>
      </c>
      <c r="D296" s="6" t="s">
        <v>653</v>
      </c>
      <c r="E296" s="3"/>
      <c r="F296" s="3" t="str">
        <f>IFERROR(__xludf.DUMMYFUNCTION("SWITCH(
  TRUE,
  REGEXMATCH(B296,""Brain Academy""),""BAC"",
  REGEXMATCH(B296,""English Academy""),""EAC"",
  """"
)&amp;"" ""&amp;IFERROR(TRIM(INDEX(SPLIT(C296,""-""),2)),C296)"),"BAC Ahmad Yani")</f>
        <v>BAC Ahmad Yani</v>
      </c>
      <c r="G296" s="3" t="str">
        <f>IFERROR(__xludf.DUMMYFUNCTION("TRIM(INDEX(SPLIT(C296,""-""),1))"),"Baturaja")</f>
        <v>Baturaja</v>
      </c>
      <c r="H296" s="3" t="str">
        <f>IFERROR(__xludf.DUMMYFUNCTION("TRIM(INDEX(SPLIT(C296,""-""),2))"),"Ahmad Yani")</f>
        <v>Ahmad Yani</v>
      </c>
      <c r="I296" s="3"/>
      <c r="J296" s="7">
        <v>-4.1253807</v>
      </c>
      <c r="K296" s="7">
        <v>104.1728605</v>
      </c>
    </row>
    <row r="297">
      <c r="A297" s="3">
        <f t="shared" si="1"/>
        <v>296</v>
      </c>
      <c r="B297" s="4" t="s">
        <v>10</v>
      </c>
      <c r="C297" s="5" t="s">
        <v>654</v>
      </c>
      <c r="D297" s="6" t="s">
        <v>655</v>
      </c>
      <c r="E297" s="3"/>
      <c r="F297" s="3" t="str">
        <f>IFERROR(__xludf.DUMMYFUNCTION("SWITCH(
  TRUE,
  REGEXMATCH(B297,""Brain Academy""),""BAC"",
  REGEXMATCH(B297,""English Academy""),""EAC"",
  """"
)&amp;"" ""&amp;IFERROR(TRIM(INDEX(SPLIT(C297,""-""),2)),C297)"),"BAC Simpang Pujud")</f>
        <v>BAC Simpang Pujud</v>
      </c>
      <c r="G297" s="3" t="str">
        <f>IFERROR(__xludf.DUMMYFUNCTION("TRIM(INDEX(SPLIT(C297,""-""),1))"),"Bagan Batu")</f>
        <v>Bagan Batu</v>
      </c>
      <c r="H297" s="3" t="str">
        <f>IFERROR(__xludf.DUMMYFUNCTION("TRIM(INDEX(SPLIT(C297,""-""),2))"),"Simpang Pujud")</f>
        <v>Simpang Pujud</v>
      </c>
      <c r="I297" s="3"/>
      <c r="J297" s="7">
        <v>1.6994865</v>
      </c>
      <c r="K297" s="7">
        <v>100.5708633</v>
      </c>
    </row>
    <row r="298">
      <c r="A298" s="3">
        <f t="shared" si="1"/>
        <v>297</v>
      </c>
      <c r="B298" s="4" t="s">
        <v>10</v>
      </c>
      <c r="C298" s="5" t="s">
        <v>656</v>
      </c>
      <c r="D298" s="6" t="s">
        <v>657</v>
      </c>
      <c r="E298" s="3"/>
      <c r="F298" s="3" t="str">
        <f>IFERROR(__xludf.DUMMYFUNCTION("SWITCH(
  TRUE,
  REGEXMATCH(B298,""Brain Academy""),""BAC"",
  REGEXMATCH(B298,""English Academy""),""EAC"",
  """"
)&amp;"" ""&amp;IFERROR(TRIM(INDEX(SPLIT(C298,""-""),2)),C298)"),"BAC Ahmad Dahlan")</f>
        <v>BAC Ahmad Dahlan</v>
      </c>
      <c r="G298" s="3" t="str">
        <f>IFERROR(__xludf.DUMMYFUNCTION("TRIM(INDEX(SPLIT(C298,""-""),1))"),"Selong")</f>
        <v>Selong</v>
      </c>
      <c r="H298" s="3" t="str">
        <f>IFERROR(__xludf.DUMMYFUNCTION("TRIM(INDEX(SPLIT(C298,""-""),2))"),"Ahmad Dahlan")</f>
        <v>Ahmad Dahlan</v>
      </c>
      <c r="I298" s="3"/>
      <c r="J298" s="7">
        <v>-8.6476769</v>
      </c>
      <c r="K298" s="7">
        <v>116.5218168</v>
      </c>
    </row>
    <row r="299">
      <c r="A299" s="3">
        <f t="shared" si="1"/>
        <v>298</v>
      </c>
      <c r="B299" s="4" t="s">
        <v>10</v>
      </c>
      <c r="C299" s="5" t="s">
        <v>658</v>
      </c>
      <c r="D299" s="6" t="s">
        <v>659</v>
      </c>
      <c r="E299" s="3"/>
      <c r="F299" s="3" t="str">
        <f>IFERROR(__xludf.DUMMYFUNCTION("SWITCH(
  TRUE,
  REGEXMATCH(B299,""Brain Academy""),""BAC"",
  REGEXMATCH(B299,""English Academy""),""EAC"",
  """"
)&amp;"" ""&amp;IFERROR(TRIM(INDEX(SPLIT(C299,""-""),2)),C299)"),"BAC Dersalam")</f>
        <v>BAC Dersalam</v>
      </c>
      <c r="G299" s="3" t="str">
        <f>IFERROR(__xludf.DUMMYFUNCTION("TRIM(INDEX(SPLIT(C299,""-""),1))"),"Kudus")</f>
        <v>Kudus</v>
      </c>
      <c r="H299" s="3" t="str">
        <f>IFERROR(__xludf.DUMMYFUNCTION("TRIM(INDEX(SPLIT(C299,""-""),2))"),"Dersalam")</f>
        <v>Dersalam</v>
      </c>
      <c r="I299" s="3"/>
      <c r="J299" s="7">
        <v>-6.8040314</v>
      </c>
      <c r="K299" s="7">
        <v>110.8673675</v>
      </c>
    </row>
    <row r="300">
      <c r="A300" s="3">
        <f t="shared" si="1"/>
        <v>299</v>
      </c>
      <c r="B300" s="4" t="s">
        <v>10</v>
      </c>
      <c r="C300" s="5" t="s">
        <v>660</v>
      </c>
      <c r="D300" s="6" t="s">
        <v>661</v>
      </c>
      <c r="E300" s="3"/>
      <c r="F300" s="3" t="str">
        <f>IFERROR(__xludf.DUMMYFUNCTION("SWITCH(
  TRUE,
  REGEXMATCH(B300,""Brain Academy""),""BAC"",
  REGEXMATCH(B300,""English Academy""),""EAC"",
  """"
)&amp;"" ""&amp;IFERROR(TRIM(INDEX(SPLIT(C300,""-""),2)),C300)"),"BAC Tompokersan")</f>
        <v>BAC Tompokersan</v>
      </c>
      <c r="G300" s="3" t="str">
        <f>IFERROR(__xludf.DUMMYFUNCTION("TRIM(INDEX(SPLIT(C300,""-""),1))"),"Lumajang")</f>
        <v>Lumajang</v>
      </c>
      <c r="H300" s="3" t="str">
        <f>IFERROR(__xludf.DUMMYFUNCTION("TRIM(INDEX(SPLIT(C300,""-""),2))"),"Tompokersan")</f>
        <v>Tompokersan</v>
      </c>
      <c r="I300" s="3"/>
      <c r="J300" s="7">
        <v>-8.1234499</v>
      </c>
      <c r="K300" s="7">
        <v>113.2168137</v>
      </c>
    </row>
    <row r="301">
      <c r="A301" s="3">
        <f t="shared" si="1"/>
        <v>300</v>
      </c>
      <c r="B301" s="4" t="s">
        <v>10</v>
      </c>
      <c r="C301" s="5" t="s">
        <v>662</v>
      </c>
      <c r="D301" s="6" t="s">
        <v>663</v>
      </c>
      <c r="E301" s="3"/>
      <c r="F301" s="3" t="str">
        <f>IFERROR(__xludf.DUMMYFUNCTION("SWITCH(
  TRUE,
  REGEXMATCH(B301,""Brain Academy""),""BAC"",
  REGEXMATCH(B301,""English Academy""),""EAC"",
  """"
)&amp;"" ""&amp;IFERROR(TRIM(INDEX(SPLIT(C301,""-""),2)),C301)"),"BAC Way Halim")</f>
        <v>BAC Way Halim</v>
      </c>
      <c r="G301" s="3" t="str">
        <f>IFERROR(__xludf.DUMMYFUNCTION("TRIM(INDEX(SPLIT(C301,""-""),1))"),"Bandar Lampung")</f>
        <v>Bandar Lampung</v>
      </c>
      <c r="H301" s="3" t="str">
        <f>IFERROR(__xludf.DUMMYFUNCTION("TRIM(INDEX(SPLIT(C301,""-""),2))"),"Way Halim")</f>
        <v>Way Halim</v>
      </c>
      <c r="I301" s="3"/>
      <c r="J301" s="7">
        <v>-5.382956999999999</v>
      </c>
      <c r="K301" s="7">
        <v>105.2800559</v>
      </c>
    </row>
    <row r="302">
      <c r="A302" s="3">
        <f t="shared" si="1"/>
        <v>301</v>
      </c>
      <c r="B302" s="4" t="s">
        <v>10</v>
      </c>
      <c r="C302" s="5" t="s">
        <v>664</v>
      </c>
      <c r="D302" s="6" t="s">
        <v>665</v>
      </c>
      <c r="E302" s="3"/>
      <c r="F302" s="3" t="str">
        <f>IFERROR(__xludf.DUMMYFUNCTION("SWITCH(
  TRUE,
  REGEXMATCH(B302,""Brain Academy""),""BAC"",
  REGEXMATCH(B302,""English Academy""),""EAC"",
  """"
)&amp;"" ""&amp;IFERROR(TRIM(INDEX(SPLIT(C302,""-""),2)),C302)"),"BAC Proklamasi")</f>
        <v>BAC Proklamasi</v>
      </c>
      <c r="G302" s="3" t="str">
        <f>IFERROR(__xludf.DUMMYFUNCTION("TRIM(INDEX(SPLIT(C302,""-""),1))"),"Atambua")</f>
        <v>Atambua</v>
      </c>
      <c r="H302" s="3" t="str">
        <f>IFERROR(__xludf.DUMMYFUNCTION("TRIM(INDEX(SPLIT(C302,""-""),2))"),"Proklamasi")</f>
        <v>Proklamasi</v>
      </c>
      <c r="I302" s="3"/>
      <c r="J302" s="7">
        <v>-9.1052575</v>
      </c>
      <c r="K302" s="7">
        <v>124.8937161</v>
      </c>
    </row>
    <row r="303">
      <c r="A303" s="3">
        <f t="shared" si="1"/>
        <v>302</v>
      </c>
      <c r="B303" s="4" t="s">
        <v>10</v>
      </c>
      <c r="C303" s="5" t="s">
        <v>666</v>
      </c>
      <c r="D303" s="6" t="s">
        <v>667</v>
      </c>
      <c r="E303" s="3"/>
      <c r="F303" s="3" t="str">
        <f>IFERROR(__xludf.DUMMYFUNCTION("SWITCH(
  TRUE,
  REGEXMATCH(B303,""Brain Academy""),""BAC"",
  REGEXMATCH(B303,""English Academy""),""EAC"",
  """"
)&amp;"" ""&amp;IFERROR(TRIM(INDEX(SPLIT(C303,""-""),2)),C303)"),"BAC Sawangan")</f>
        <v>BAC Sawangan</v>
      </c>
      <c r="G303" s="3" t="str">
        <f>IFERROR(__xludf.DUMMYFUNCTION("TRIM(INDEX(SPLIT(C303,""-""),1))"),"Depok")</f>
        <v>Depok</v>
      </c>
      <c r="H303" s="3" t="str">
        <f>IFERROR(__xludf.DUMMYFUNCTION("TRIM(INDEX(SPLIT(C303,""-""),2))"),"Sawangan")</f>
        <v>Sawangan</v>
      </c>
      <c r="I303" s="3"/>
      <c r="J303" s="7">
        <v>-6.3998222</v>
      </c>
      <c r="K303" s="7">
        <v>106.7659257</v>
      </c>
    </row>
    <row r="304">
      <c r="A304" s="3">
        <f t="shared" si="1"/>
        <v>303</v>
      </c>
      <c r="B304" s="4" t="s">
        <v>10</v>
      </c>
      <c r="C304" s="5" t="s">
        <v>668</v>
      </c>
      <c r="D304" s="6" t="s">
        <v>669</v>
      </c>
      <c r="E304" s="3"/>
      <c r="F304" s="3" t="str">
        <f>IFERROR(__xludf.DUMMYFUNCTION("SWITCH(
  TRUE,
  REGEXMATCH(B304,""Brain Academy""),""BAC"",
  REGEXMATCH(B304,""English Academy""),""EAC"",
  """"
)&amp;"" ""&amp;IFERROR(TRIM(INDEX(SPLIT(C304,""-""),2)),C304)"),"BAC Sudirman")</f>
        <v>BAC Sudirman</v>
      </c>
      <c r="G304" s="3" t="str">
        <f>IFERROR(__xludf.DUMMYFUNCTION("TRIM(INDEX(SPLIT(C304,""-""),1))"),"Indramayu")</f>
        <v>Indramayu</v>
      </c>
      <c r="H304" s="3" t="str">
        <f>IFERROR(__xludf.DUMMYFUNCTION("TRIM(INDEX(SPLIT(C304,""-""),2))"),"Sudirman")</f>
        <v>Sudirman</v>
      </c>
      <c r="I304" s="3"/>
      <c r="J304" s="7">
        <v>-6.3380755</v>
      </c>
      <c r="K304" s="7">
        <v>108.3370062</v>
      </c>
    </row>
    <row r="305">
      <c r="A305" s="3">
        <f t="shared" si="1"/>
        <v>304</v>
      </c>
      <c r="B305" s="4" t="s">
        <v>10</v>
      </c>
      <c r="C305" s="5" t="s">
        <v>670</v>
      </c>
      <c r="D305" s="6" t="s">
        <v>671</v>
      </c>
      <c r="E305" s="3"/>
      <c r="F305" s="3" t="str">
        <f>IFERROR(__xludf.DUMMYFUNCTION("SWITCH(
  TRUE,
  REGEXMATCH(B305,""Brain Academy""),""BAC"",
  REGEXMATCH(B305,""English Academy""),""EAC"",
  """"
)&amp;"" ""&amp;IFERROR(TRIM(INDEX(SPLIT(C305,""-""),2)),C305)"),"BAC Taman Siswa")</f>
        <v>BAC Taman Siswa</v>
      </c>
      <c r="G305" s="3" t="str">
        <f>IFERROR(__xludf.DUMMYFUNCTION("TRIM(INDEX(SPLIT(C305,""-""),1))"),"Yogyakarta")</f>
        <v>Yogyakarta</v>
      </c>
      <c r="H305" s="3" t="str">
        <f>IFERROR(__xludf.DUMMYFUNCTION("TRIM(INDEX(SPLIT(C305,""-""),2))"),"Taman Siswa")</f>
        <v>Taman Siswa</v>
      </c>
      <c r="I305" s="3"/>
      <c r="J305" s="7">
        <v>-7.821418</v>
      </c>
      <c r="K305" s="7">
        <v>110.3772076</v>
      </c>
    </row>
    <row r="306">
      <c r="A306" s="3">
        <f t="shared" si="1"/>
        <v>305</v>
      </c>
      <c r="B306" s="4" t="s">
        <v>10</v>
      </c>
      <c r="C306" s="5" t="s">
        <v>672</v>
      </c>
      <c r="D306" s="6" t="s">
        <v>673</v>
      </c>
      <c r="E306" s="3"/>
      <c r="F306" s="3" t="str">
        <f>IFERROR(__xludf.DUMMYFUNCTION("SWITCH(
  TRUE,
  REGEXMATCH(B306,""Brain Academy""),""BAC"",
  REGEXMATCH(B306,""English Academy""),""EAC"",
  """"
)&amp;"" ""&amp;IFERROR(TRIM(INDEX(SPLIT(C306,""-""),2)),C306)"),"BAC Ahmad Yani")</f>
        <v>BAC Ahmad Yani</v>
      </c>
      <c r="G306" s="3" t="str">
        <f>IFERROR(__xludf.DUMMYFUNCTION("TRIM(INDEX(SPLIT(C306,""-""),1))"),"Karangasem")</f>
        <v>Karangasem</v>
      </c>
      <c r="H306" s="3" t="str">
        <f>IFERROR(__xludf.DUMMYFUNCTION("TRIM(INDEX(SPLIT(C306,""-""),2))"),"Ahmad Yani")</f>
        <v>Ahmad Yani</v>
      </c>
      <c r="I306" s="3"/>
      <c r="J306" s="7">
        <v>-8.455931999999999</v>
      </c>
      <c r="K306" s="7">
        <v>115.6014452</v>
      </c>
    </row>
    <row r="307">
      <c r="A307" s="3">
        <f t="shared" si="1"/>
        <v>306</v>
      </c>
      <c r="B307" s="4" t="s">
        <v>10</v>
      </c>
      <c r="C307" s="5" t="s">
        <v>674</v>
      </c>
      <c r="D307" s="6" t="s">
        <v>675</v>
      </c>
      <c r="E307" s="3"/>
      <c r="F307" s="3" t="str">
        <f>IFERROR(__xludf.DUMMYFUNCTION("SWITCH(
  TRUE,
  REGEXMATCH(B307,""Brain Academy""),""BAC"",
  REGEXMATCH(B307,""English Academy""),""EAC"",
  """"
)&amp;"" ""&amp;IFERROR(TRIM(INDEX(SPLIT(C307,""-""),2)),C307)"),"BAC Tegalgede")</f>
        <v>BAC Tegalgede</v>
      </c>
      <c r="G307" s="3" t="str">
        <f>IFERROR(__xludf.DUMMYFUNCTION("TRIM(INDEX(SPLIT(C307,""-""),1))"),"Karanganyar")</f>
        <v>Karanganyar</v>
      </c>
      <c r="H307" s="3" t="str">
        <f>IFERROR(__xludf.DUMMYFUNCTION("TRIM(INDEX(SPLIT(C307,""-""),2))"),"Tegalgede")</f>
        <v>Tegalgede</v>
      </c>
      <c r="I307" s="3"/>
      <c r="J307" s="7">
        <v>-7.6005603</v>
      </c>
      <c r="K307" s="7">
        <v>110.9598421</v>
      </c>
    </row>
    <row r="308">
      <c r="A308" s="3">
        <f t="shared" si="1"/>
        <v>307</v>
      </c>
      <c r="B308" s="4" t="s">
        <v>10</v>
      </c>
      <c r="C308" s="5" t="s">
        <v>676</v>
      </c>
      <c r="D308" s="6" t="s">
        <v>677</v>
      </c>
      <c r="E308" s="3"/>
      <c r="F308" s="3" t="str">
        <f>IFERROR(__xludf.DUMMYFUNCTION("SWITCH(
  TRUE,
  REGEXMATCH(B308,""Brain Academy""),""BAC"",
  REGEXMATCH(B308,""English Academy""),""EAC"",
  """"
)&amp;"" ""&amp;IFERROR(TRIM(INDEX(SPLIT(C308,""-""),2)),C308)"),"BAC Rakese")</f>
        <v>BAC Rakese</v>
      </c>
      <c r="G308" s="3" t="str">
        <f>IFERROR(__xludf.DUMMYFUNCTION("TRIM(INDEX(SPLIT(C308,""-""),1))"),"Kendal")</f>
        <v>Kendal</v>
      </c>
      <c r="H308" s="3" t="str">
        <f>IFERROR(__xludf.DUMMYFUNCTION("TRIM(INDEX(SPLIT(C308,""-""),2))"),"Rakese")</f>
        <v>Rakese</v>
      </c>
      <c r="I308" s="3"/>
      <c r="J308" s="7">
        <v>-6.9207315</v>
      </c>
      <c r="K308" s="7">
        <v>110.2022532</v>
      </c>
    </row>
    <row r="309">
      <c r="A309" s="3">
        <f t="shared" si="1"/>
        <v>308</v>
      </c>
      <c r="B309" s="4" t="s">
        <v>10</v>
      </c>
      <c r="C309" s="5" t="s">
        <v>678</v>
      </c>
      <c r="D309" s="6" t="s">
        <v>679</v>
      </c>
      <c r="E309" s="3"/>
      <c r="F309" s="3" t="str">
        <f>IFERROR(__xludf.DUMMYFUNCTION("SWITCH(
  TRUE,
  REGEXMATCH(B309,""Brain Academy""),""BAC"",
  REGEXMATCH(B309,""English Academy""),""EAC"",
  """"
)&amp;"" ""&amp;IFERROR(TRIM(INDEX(SPLIT(C309,""-""),2)),C309)"),"BAC Jenderal Sudirman")</f>
        <v>BAC Jenderal Sudirman</v>
      </c>
      <c r="G309" s="3" t="str">
        <f>IFERROR(__xludf.DUMMYFUNCTION("TRIM(INDEX(SPLIT(C309,""-""),1))"),"Praya")</f>
        <v>Praya</v>
      </c>
      <c r="H309" s="3" t="str">
        <f>IFERROR(__xludf.DUMMYFUNCTION("TRIM(INDEX(SPLIT(C309,""-""),2))"),"Jenderal Sudirman")</f>
        <v>Jenderal Sudirman</v>
      </c>
      <c r="I309" s="3"/>
      <c r="J309" s="7">
        <v>-8.7090606</v>
      </c>
      <c r="K309" s="7">
        <v>116.2754973</v>
      </c>
    </row>
    <row r="310">
      <c r="A310" s="3">
        <f t="shared" si="1"/>
        <v>309</v>
      </c>
      <c r="B310" s="4" t="s">
        <v>10</v>
      </c>
      <c r="C310" s="5" t="s">
        <v>680</v>
      </c>
      <c r="D310" s="6" t="s">
        <v>681</v>
      </c>
      <c r="E310" s="3"/>
      <c r="F310" s="3" t="str">
        <f>IFERROR(__xludf.DUMMYFUNCTION("SWITCH(
  TRUE,
  REGEXMATCH(B310,""Brain Academy""),""BAC"",
  REGEXMATCH(B310,""English Academy""),""EAC"",
  """"
)&amp;"" ""&amp;IFERROR(TRIM(INDEX(SPLIT(C310,""-""),2)),C310)"),"BAC Trans Sulawesi")</f>
        <v>BAC Trans Sulawesi</v>
      </c>
      <c r="G310" s="3" t="str">
        <f>IFERROR(__xludf.DUMMYFUNCTION("TRIM(INDEX(SPLIT(C310,""-""),1))"),"Parigi Moutong")</f>
        <v>Parigi Moutong</v>
      </c>
      <c r="H310" s="3" t="str">
        <f>IFERROR(__xludf.DUMMYFUNCTION("TRIM(INDEX(SPLIT(C310,""-""),2))"),"Trans Sulawesi")</f>
        <v>Trans Sulawesi</v>
      </c>
      <c r="I310" s="3"/>
      <c r="J310" s="7">
        <v>-0.8011845</v>
      </c>
      <c r="K310" s="7">
        <v>120.166245</v>
      </c>
    </row>
    <row r="311">
      <c r="A311" s="3">
        <f t="shared" si="1"/>
        <v>310</v>
      </c>
      <c r="B311" s="4" t="s">
        <v>10</v>
      </c>
      <c r="C311" s="5" t="s">
        <v>682</v>
      </c>
      <c r="D311" s="6" t="s">
        <v>683</v>
      </c>
      <c r="E311" s="3"/>
      <c r="F311" s="3" t="str">
        <f>IFERROR(__xludf.DUMMYFUNCTION("SWITCH(
  TRUE,
  REGEXMATCH(B311,""Brain Academy""),""BAC"",
  REGEXMATCH(B311,""English Academy""),""EAC"",
  """"
)&amp;"" ""&amp;IFERROR(TRIM(INDEX(SPLIT(C311,""-""),2)),C311)"),"BAC Kepahiang")</f>
        <v>BAC Kepahiang</v>
      </c>
      <c r="G311" s="3" t="str">
        <f>IFERROR(__xludf.DUMMYFUNCTION("TRIM(INDEX(SPLIT(C311,""-""),1))"),"Bengkulu")</f>
        <v>Bengkulu</v>
      </c>
      <c r="H311" s="3" t="str">
        <f>IFERROR(__xludf.DUMMYFUNCTION("TRIM(INDEX(SPLIT(C311,""-""),2))"),"Kepahiang")</f>
        <v>Kepahiang</v>
      </c>
      <c r="I311" s="3"/>
      <c r="J311" s="7">
        <v>-3.6269163</v>
      </c>
      <c r="K311" s="7">
        <v>102.5573035</v>
      </c>
    </row>
    <row r="312">
      <c r="A312" s="3">
        <f t="shared" si="1"/>
        <v>311</v>
      </c>
      <c r="B312" s="4" t="s">
        <v>10</v>
      </c>
      <c r="C312" s="5" t="s">
        <v>684</v>
      </c>
      <c r="D312" s="6" t="s">
        <v>685</v>
      </c>
      <c r="E312" s="3"/>
      <c r="F312" s="3" t="str">
        <f>IFERROR(__xludf.DUMMYFUNCTION("SWITCH(
  TRUE,
  REGEXMATCH(B312,""Brain Academy""),""BAC"",
  REGEXMATCH(B312,""English Academy""),""EAC"",
  """"
)&amp;"" ""&amp;IFERROR(TRIM(INDEX(SPLIT(C312,""-""),2)),C312)"),"BAC Sarolangun")</f>
        <v>BAC Sarolangun</v>
      </c>
      <c r="G312" s="3" t="str">
        <f>IFERROR(__xludf.DUMMYFUNCTION("TRIM(INDEX(SPLIT(C312,""-""),1))"),"Jambi")</f>
        <v>Jambi</v>
      </c>
      <c r="H312" s="3" t="str">
        <f>IFERROR(__xludf.DUMMYFUNCTION("TRIM(INDEX(SPLIT(C312,""-""),2))"),"Sarolangun")</f>
        <v>Sarolangun</v>
      </c>
      <c r="I312" s="3"/>
      <c r="J312" s="7">
        <v>-2.3065445</v>
      </c>
      <c r="K312" s="7">
        <v>102.728552</v>
      </c>
    </row>
    <row r="313">
      <c r="A313" s="3">
        <f t="shared" si="1"/>
        <v>312</v>
      </c>
      <c r="B313" s="4" t="s">
        <v>10</v>
      </c>
      <c r="C313" s="5" t="s">
        <v>686</v>
      </c>
      <c r="D313" s="6" t="s">
        <v>687</v>
      </c>
      <c r="E313" s="3"/>
      <c r="F313" s="3" t="str">
        <f>IFERROR(__xludf.DUMMYFUNCTION("SWITCH(
  TRUE,
  REGEXMATCH(B313,""Brain Academy""),""BAC"",
  REGEXMATCH(B313,""English Academy""),""EAC"",
  """"
)&amp;"" ""&amp;IFERROR(TRIM(INDEX(SPLIT(C313,""-""),2)),C313)"),"BAC Merduati")</f>
        <v>BAC Merduati</v>
      </c>
      <c r="G313" s="3" t="str">
        <f>IFERROR(__xludf.DUMMYFUNCTION("TRIM(INDEX(SPLIT(C313,""-""),1))"),"Banda Aceh")</f>
        <v>Banda Aceh</v>
      </c>
      <c r="H313" s="3" t="str">
        <f>IFERROR(__xludf.DUMMYFUNCTION("TRIM(INDEX(SPLIT(C313,""-""),2))"),"Merduati")</f>
        <v>Merduati</v>
      </c>
      <c r="I313" s="3"/>
      <c r="J313" s="7">
        <v>5.552391999999999</v>
      </c>
      <c r="K313" s="7">
        <v>95.31460679999999</v>
      </c>
    </row>
    <row r="314">
      <c r="A314" s="3">
        <f t="shared" si="1"/>
        <v>313</v>
      </c>
      <c r="B314" s="4" t="s">
        <v>10</v>
      </c>
      <c r="C314" s="5" t="s">
        <v>688</v>
      </c>
      <c r="D314" s="6" t="s">
        <v>689</v>
      </c>
      <c r="E314" s="3"/>
      <c r="F314" s="3" t="str">
        <f>IFERROR(__xludf.DUMMYFUNCTION("SWITCH(
  TRUE,
  REGEXMATCH(B314,""Brain Academy""),""BAC"",
  REGEXMATCH(B314,""English Academy""),""EAC"",
  """"
)&amp;"" ""&amp;IFERROR(TRIM(INDEX(SPLIT(C314,""-""),2)),C314)"),"BAC Jababeka")</f>
        <v>BAC Jababeka</v>
      </c>
      <c r="G314" s="3" t="str">
        <f>IFERROR(__xludf.DUMMYFUNCTION("TRIM(INDEX(SPLIT(C314,""-""),1))"),"Cikarang")</f>
        <v>Cikarang</v>
      </c>
      <c r="H314" s="3" t="str">
        <f>IFERROR(__xludf.DUMMYFUNCTION("TRIM(INDEX(SPLIT(C314,""-""),2))"),"Jababeka")</f>
        <v>Jababeka</v>
      </c>
      <c r="I314" s="3"/>
      <c r="J314" s="7">
        <v>-6.2940553</v>
      </c>
      <c r="K314" s="7">
        <v>107.1709331</v>
      </c>
    </row>
    <row r="315">
      <c r="A315" s="3">
        <f t="shared" si="1"/>
        <v>314</v>
      </c>
      <c r="B315" s="4" t="s">
        <v>10</v>
      </c>
      <c r="C315" s="5" t="s">
        <v>690</v>
      </c>
      <c r="D315" s="6" t="s">
        <v>691</v>
      </c>
      <c r="E315" s="3"/>
      <c r="F315" s="3" t="str">
        <f>IFERROR(__xludf.DUMMYFUNCTION("SWITCH(
  TRUE,
  REGEXMATCH(B315,""Brain Academy""),""BAC"",
  REGEXMATCH(B315,""English Academy""),""EAC"",
  """"
)&amp;"" ""&amp;IFERROR(TRIM(INDEX(SPLIT(C315,""-""),2)),C315)"),"BAC Bangil")</f>
        <v>BAC Bangil</v>
      </c>
      <c r="G315" s="3" t="str">
        <f>IFERROR(__xludf.DUMMYFUNCTION("TRIM(INDEX(SPLIT(C315,""-""),1))"),"Pasuruan")</f>
        <v>Pasuruan</v>
      </c>
      <c r="H315" s="3" t="str">
        <f>IFERROR(__xludf.DUMMYFUNCTION("TRIM(INDEX(SPLIT(C315,""-""),2))"),"Bangil")</f>
        <v>Bangil</v>
      </c>
      <c r="I315" s="3"/>
      <c r="J315" s="7">
        <v>-7.5934278</v>
      </c>
      <c r="K315" s="7">
        <v>112.7922132</v>
      </c>
    </row>
    <row r="316">
      <c r="A316" s="3">
        <f t="shared" si="1"/>
        <v>315</v>
      </c>
      <c r="B316" s="4" t="s">
        <v>10</v>
      </c>
      <c r="C316" s="5" t="s">
        <v>692</v>
      </c>
      <c r="D316" s="6" t="s">
        <v>693</v>
      </c>
      <c r="E316" s="3"/>
      <c r="F316" s="3" t="str">
        <f>IFERROR(__xludf.DUMMYFUNCTION("SWITCH(
  TRUE,
  REGEXMATCH(B316,""Brain Academy""),""BAC"",
  REGEXMATCH(B316,""English Academy""),""EAC"",
  """"
)&amp;"" ""&amp;IFERROR(TRIM(INDEX(SPLIT(C316,""-""),2)),C316)"),"BAC A Majid Ibrahim")</f>
        <v>BAC A Majid Ibrahim</v>
      </c>
      <c r="G316" s="3" t="str">
        <f>IFERROR(__xludf.DUMMYFUNCTION("TRIM(INDEX(SPLIT(C316,""-""),1))"),"Sigli")</f>
        <v>Sigli</v>
      </c>
      <c r="H316" s="3" t="str">
        <f>IFERROR(__xludf.DUMMYFUNCTION("TRIM(INDEX(SPLIT(C316,""-""),2))"),"A Majid Ibrahim")</f>
        <v>A Majid Ibrahim</v>
      </c>
      <c r="I316" s="3"/>
      <c r="J316" s="7">
        <v>5.3735686</v>
      </c>
      <c r="K316" s="7">
        <v>95.958299</v>
      </c>
    </row>
    <row r="317">
      <c r="A317" s="3">
        <f t="shared" si="1"/>
        <v>316</v>
      </c>
      <c r="B317" s="4" t="s">
        <v>10</v>
      </c>
      <c r="C317" s="5" t="s">
        <v>694</v>
      </c>
      <c r="D317" s="6" t="s">
        <v>695</v>
      </c>
      <c r="E317" s="3"/>
      <c r="F317" s="3" t="str">
        <f>IFERROR(__xludf.DUMMYFUNCTION("SWITCH(
  TRUE,
  REGEXMATCH(B317,""Brain Academy""),""BAC"",
  REGEXMATCH(B317,""English Academy""),""EAC"",
  """"
)&amp;"" ""&amp;IFERROR(TRIM(INDEX(SPLIT(C317,""-""),2)),C317)"),"BAC Padangan")</f>
        <v>BAC Padangan</v>
      </c>
      <c r="G317" s="3" t="str">
        <f>IFERROR(__xludf.DUMMYFUNCTION("TRIM(INDEX(SPLIT(C317,""-""),1))"),"Bojonegoro")</f>
        <v>Bojonegoro</v>
      </c>
      <c r="H317" s="3" t="str">
        <f>IFERROR(__xludf.DUMMYFUNCTION("TRIM(INDEX(SPLIT(C317,""-""),2))"),"Padangan")</f>
        <v>Padangan</v>
      </c>
      <c r="I317" s="3"/>
      <c r="J317" s="7">
        <v>-7.156037599999999</v>
      </c>
      <c r="K317" s="7">
        <v>111.6165165</v>
      </c>
    </row>
    <row r="318">
      <c r="A318" s="3">
        <f t="shared" si="1"/>
        <v>317</v>
      </c>
      <c r="B318" s="4" t="s">
        <v>10</v>
      </c>
      <c r="C318" s="5" t="s">
        <v>696</v>
      </c>
      <c r="D318" s="6" t="s">
        <v>697</v>
      </c>
      <c r="E318" s="3"/>
      <c r="F318" s="3" t="str">
        <f>IFERROR(__xludf.DUMMYFUNCTION("SWITCH(
  TRUE,
  REGEXMATCH(B318,""Brain Academy""),""BAC"",
  REGEXMATCH(B318,""English Academy""),""EAC"",
  """"
)&amp;"" ""&amp;IFERROR(TRIM(INDEX(SPLIT(C318,""-""),2)),C318)"),"BAC Muntilan")</f>
        <v>BAC Muntilan</v>
      </c>
      <c r="G318" s="3" t="str">
        <f>IFERROR(__xludf.DUMMYFUNCTION("TRIM(INDEX(SPLIT(C318,""-""),1))"),"Magelang")</f>
        <v>Magelang</v>
      </c>
      <c r="H318" s="3" t="str">
        <f>IFERROR(__xludf.DUMMYFUNCTION("TRIM(INDEX(SPLIT(C318,""-""),2))"),"Muntilan")</f>
        <v>Muntilan</v>
      </c>
      <c r="I318" s="3"/>
      <c r="J318" s="7">
        <v>-7.5800084</v>
      </c>
      <c r="K318" s="7">
        <v>110.2851351</v>
      </c>
    </row>
    <row r="319">
      <c r="A319" s="3">
        <f t="shared" si="1"/>
        <v>318</v>
      </c>
      <c r="B319" s="4" t="s">
        <v>10</v>
      </c>
      <c r="C319" s="5" t="s">
        <v>698</v>
      </c>
      <c r="D319" s="6" t="s">
        <v>699</v>
      </c>
      <c r="E319" s="3"/>
      <c r="F319" s="3" t="str">
        <f>IFERROR(__xludf.DUMMYFUNCTION("SWITCH(
  TRUE,
  REGEXMATCH(B319,""Brain Academy""),""BAC"",
  REGEXMATCH(B319,""English Academy""),""EAC"",
  """"
)&amp;"" ""&amp;IFERROR(TRIM(INDEX(SPLIT(C319,""-""),2)),C319)"),"BAC Stabat")</f>
        <v>BAC Stabat</v>
      </c>
      <c r="G319" s="3" t="str">
        <f>IFERROR(__xludf.DUMMYFUNCTION("TRIM(INDEX(SPLIT(C319,""-""),1))"),"Langkat")</f>
        <v>Langkat</v>
      </c>
      <c r="H319" s="3" t="str">
        <f>IFERROR(__xludf.DUMMYFUNCTION("TRIM(INDEX(SPLIT(C319,""-""),2))"),"Stabat")</f>
        <v>Stabat</v>
      </c>
      <c r="I319" s="3"/>
      <c r="J319" s="7">
        <v>3.7329384</v>
      </c>
      <c r="K319" s="7">
        <v>98.4340269</v>
      </c>
    </row>
    <row r="320">
      <c r="A320" s="3">
        <f t="shared" si="1"/>
        <v>319</v>
      </c>
      <c r="B320" s="4" t="s">
        <v>10</v>
      </c>
      <c r="C320" s="5" t="s">
        <v>700</v>
      </c>
      <c r="D320" s="6" t="s">
        <v>701</v>
      </c>
      <c r="E320" s="3"/>
      <c r="F320" s="3" t="str">
        <f>IFERROR(__xludf.DUMMYFUNCTION("SWITCH(
  TRUE,
  REGEXMATCH(B320,""Brain Academy""),""BAC"",
  REGEXMATCH(B320,""English Academy""),""EAC"",
  """"
)&amp;"" ""&amp;IFERROR(TRIM(INDEX(SPLIT(C320,""-""),2)),C320)"),"BAC Jenderal Sudirman")</f>
        <v>BAC Jenderal Sudirman</v>
      </c>
      <c r="G320" s="3" t="str">
        <f>IFERROR(__xludf.DUMMYFUNCTION("TRIM(INDEX(SPLIT(C320,""-""),1))"),"Kroya")</f>
        <v>Kroya</v>
      </c>
      <c r="H320" s="3" t="str">
        <f>IFERROR(__xludf.DUMMYFUNCTION("TRIM(INDEX(SPLIT(C320,""-""),2))"),"Jenderal Sudirman")</f>
        <v>Jenderal Sudirman</v>
      </c>
      <c r="I320" s="3"/>
      <c r="J320" s="7">
        <v>-7.632152499999999</v>
      </c>
      <c r="K320" s="7">
        <v>109.2442505</v>
      </c>
    </row>
    <row r="321">
      <c r="A321" s="3">
        <f t="shared" si="1"/>
        <v>320</v>
      </c>
      <c r="B321" s="4" t="s">
        <v>10</v>
      </c>
      <c r="C321" s="5" t="s">
        <v>702</v>
      </c>
      <c r="D321" s="6" t="s">
        <v>703</v>
      </c>
      <c r="E321" s="3"/>
      <c r="F321" s="3" t="str">
        <f>IFERROR(__xludf.DUMMYFUNCTION("SWITCH(
  TRUE,
  REGEXMATCH(B321,""Brain Academy""),""BAC"",
  REGEXMATCH(B321,""English Academy""),""EAC"",
  """"
)&amp;"" ""&amp;IFERROR(TRIM(INDEX(SPLIT(C321,""-""),2)),C321)"),"BAC Tuanku Tambusai")</f>
        <v>BAC Tuanku Tambusai</v>
      </c>
      <c r="G321" s="3" t="str">
        <f>IFERROR(__xludf.DUMMYFUNCTION("TRIM(INDEX(SPLIT(C321,""-""),1))"),"Pasir Pengaraian")</f>
        <v>Pasir Pengaraian</v>
      </c>
      <c r="H321" s="3" t="str">
        <f>IFERROR(__xludf.DUMMYFUNCTION("TRIM(INDEX(SPLIT(C321,""-""),2))"),"Tuanku Tambusai")</f>
        <v>Tuanku Tambusai</v>
      </c>
      <c r="I321" s="3"/>
      <c r="J321" s="7">
        <v>0.8751652999999999</v>
      </c>
      <c r="K321" s="7">
        <v>100.2915331</v>
      </c>
    </row>
    <row r="322">
      <c r="A322" s="3">
        <f t="shared" si="1"/>
        <v>321</v>
      </c>
      <c r="B322" s="4" t="s">
        <v>10</v>
      </c>
      <c r="C322" s="5" t="s">
        <v>704</v>
      </c>
      <c r="D322" s="6" t="s">
        <v>705</v>
      </c>
      <c r="E322" s="3"/>
      <c r="F322" s="3" t="str">
        <f>IFERROR(__xludf.DUMMYFUNCTION("SWITCH(
  TRUE,
  REGEXMATCH(B322,""Brain Academy""),""BAC"",
  REGEXMATCH(B322,""English Academy""),""EAC"",
  """"
)&amp;"" ""&amp;IFERROR(TRIM(INDEX(SPLIT(C322,""-""),2)),C322)"),"BAC D.I Panjaitan")</f>
        <v>BAC D.I Panjaitan</v>
      </c>
      <c r="G322" s="3" t="str">
        <f>IFERROR(__xludf.DUMMYFUNCTION("TRIM(INDEX(SPLIT(C322,""-""),1))"),"Sampit")</f>
        <v>Sampit</v>
      </c>
      <c r="H322" s="3" t="str">
        <f>IFERROR(__xludf.DUMMYFUNCTION("TRIM(INDEX(SPLIT(C322,""-""),2))"),"D.I Panjaitan")</f>
        <v>D.I Panjaitan</v>
      </c>
      <c r="I322" s="3"/>
      <c r="J322" s="7">
        <v>-2.5565267</v>
      </c>
      <c r="K322" s="7">
        <v>112.9618092</v>
      </c>
    </row>
    <row r="323">
      <c r="A323" s="3">
        <f t="shared" si="1"/>
        <v>322</v>
      </c>
      <c r="B323" s="4" t="s">
        <v>10</v>
      </c>
      <c r="C323" s="5" t="s">
        <v>706</v>
      </c>
      <c r="D323" s="6" t="s">
        <v>707</v>
      </c>
      <c r="E323" s="3"/>
      <c r="F323" s="3" t="str">
        <f>IFERROR(__xludf.DUMMYFUNCTION("SWITCH(
  TRUE,
  REGEXMATCH(B323,""Brain Academy""),""BAC"",
  REGEXMATCH(B323,""English Academy""),""EAC"",
  """"
)&amp;"" ""&amp;IFERROR(TRIM(INDEX(SPLIT(C323,""-""),2)),C323)"),"BAC Pagaruyung")</f>
        <v>BAC Pagaruyung</v>
      </c>
      <c r="G323" s="3" t="str">
        <f>IFERROR(__xludf.DUMMYFUNCTION("TRIM(INDEX(SPLIT(C323,""-""),1))"),"Painan")</f>
        <v>Painan</v>
      </c>
      <c r="H323" s="3" t="str">
        <f>IFERROR(__xludf.DUMMYFUNCTION("TRIM(INDEX(SPLIT(C323,""-""),2))"),"Pagaruyung")</f>
        <v>Pagaruyung</v>
      </c>
      <c r="I323" s="3"/>
      <c r="J323" s="7">
        <v>-1.341459</v>
      </c>
      <c r="K323" s="7">
        <v>100.5797939</v>
      </c>
    </row>
    <row r="324">
      <c r="A324" s="3">
        <f t="shared" si="1"/>
        <v>323</v>
      </c>
      <c r="B324" s="4" t="s">
        <v>10</v>
      </c>
      <c r="C324" s="5" t="s">
        <v>708</v>
      </c>
      <c r="D324" s="6" t="s">
        <v>709</v>
      </c>
      <c r="E324" s="3"/>
      <c r="F324" s="3" t="str">
        <f>IFERROR(__xludf.DUMMYFUNCTION("SWITCH(
  TRUE,
  REGEXMATCH(B324,""Brain Academy""),""BAC"",
  REGEXMATCH(B324,""English Academy""),""EAC"",
  """"
)&amp;"" ""&amp;IFERROR(TRIM(INDEX(SPLIT(C324,""-""),2)),C324)"),"BAC Soekarno Hatta")</f>
        <v>BAC Soekarno Hatta</v>
      </c>
      <c r="G324" s="3" t="str">
        <f>IFERROR(__xludf.DUMMYFUNCTION("TRIM(INDEX(SPLIT(C324,""-""),1))"),"Bangkalan")</f>
        <v>Bangkalan</v>
      </c>
      <c r="H324" s="3" t="str">
        <f>IFERROR(__xludf.DUMMYFUNCTION("TRIM(INDEX(SPLIT(C324,""-""),2))"),"Soekarno Hatta")</f>
        <v>Soekarno Hatta</v>
      </c>
      <c r="I324" s="3"/>
      <c r="J324" s="7">
        <v>-7.047021900000001</v>
      </c>
      <c r="K324" s="7">
        <v>112.7351375</v>
      </c>
    </row>
    <row r="325">
      <c r="A325" s="3">
        <f t="shared" si="1"/>
        <v>324</v>
      </c>
      <c r="B325" s="4" t="s">
        <v>10</v>
      </c>
      <c r="C325" s="5" t="s">
        <v>710</v>
      </c>
      <c r="D325" s="6" t="s">
        <v>711</v>
      </c>
      <c r="E325" s="3"/>
      <c r="F325" s="3" t="str">
        <f>IFERROR(__xludf.DUMMYFUNCTION("SWITCH(
  TRUE,
  REGEXMATCH(B325,""Brain Academy""),""BAC"",
  REGEXMATCH(B325,""English Academy""),""EAC"",
  """"
)&amp;"" ""&amp;IFERROR(TRIM(INDEX(SPLIT(C325,""-""),2)),C325)"),"BAC Jenderal Sudirman")</f>
        <v>BAC Jenderal Sudirman</v>
      </c>
      <c r="G325" s="3" t="str">
        <f>IFERROR(__xludf.DUMMYFUNCTION("TRIM(INDEX(SPLIT(C325,""-""),1))"),"Tanjung Balai")</f>
        <v>Tanjung Balai</v>
      </c>
      <c r="H325" s="3" t="str">
        <f>IFERROR(__xludf.DUMMYFUNCTION("TRIM(INDEX(SPLIT(C325,""-""),2))"),"Jenderal Sudirman")</f>
        <v>Jenderal Sudirman</v>
      </c>
      <c r="I325" s="3"/>
      <c r="J325" s="7">
        <v>2.9606622</v>
      </c>
      <c r="K325" s="7">
        <v>99.80159139999999</v>
      </c>
    </row>
    <row r="326">
      <c r="A326" s="3">
        <f t="shared" si="1"/>
        <v>325</v>
      </c>
      <c r="B326" s="4" t="s">
        <v>10</v>
      </c>
      <c r="C326" s="5" t="s">
        <v>712</v>
      </c>
      <c r="D326" s="6" t="s">
        <v>713</v>
      </c>
      <c r="E326" s="3"/>
      <c r="F326" s="3" t="str">
        <f>IFERROR(__xludf.DUMMYFUNCTION("SWITCH(
  TRUE,
  REGEXMATCH(B326,""Brain Academy""),""BAC"",
  REGEXMATCH(B326,""English Academy""),""EAC"",
  """"
)&amp;"" ""&amp;IFERROR(TRIM(INDEX(SPLIT(C326,""-""),2)),C326)"),"BAC Johan Pahlawan")</f>
        <v>BAC Johan Pahlawan</v>
      </c>
      <c r="G326" s="3" t="str">
        <f>IFERROR(__xludf.DUMMYFUNCTION("TRIM(INDEX(SPLIT(C326,""-""),1))"),"Meulaboh")</f>
        <v>Meulaboh</v>
      </c>
      <c r="H326" s="3" t="str">
        <f>IFERROR(__xludf.DUMMYFUNCTION("TRIM(INDEX(SPLIT(C326,""-""),2))"),"Johan Pahlawan")</f>
        <v>Johan Pahlawan</v>
      </c>
      <c r="I326" s="3"/>
      <c r="J326" s="7">
        <v>4.1553795</v>
      </c>
      <c r="K326" s="7">
        <v>96.1285101</v>
      </c>
    </row>
    <row r="327">
      <c r="A327" s="3">
        <f t="shared" si="1"/>
        <v>326</v>
      </c>
      <c r="B327" s="4" t="s">
        <v>10</v>
      </c>
      <c r="C327" s="5" t="s">
        <v>714</v>
      </c>
      <c r="D327" s="6" t="s">
        <v>715</v>
      </c>
      <c r="E327" s="3"/>
      <c r="F327" s="3" t="str">
        <f>IFERROR(__xludf.DUMMYFUNCTION("SWITCH(
  TRUE,
  REGEXMATCH(B327,""Brain Academy""),""BAC"",
  REGEXMATCH(B327,""English Academy""),""EAC"",
  """"
)&amp;"" ""&amp;IFERROR(TRIM(INDEX(SPLIT(C327,""-""),2)),C327)"),"BAC RA Kartini")</f>
        <v>BAC RA Kartini</v>
      </c>
      <c r="G327" s="3" t="str">
        <f>IFERROR(__xludf.DUMMYFUNCTION("TRIM(INDEX(SPLIT(C327,""-""),1))"),"Rembang")</f>
        <v>Rembang</v>
      </c>
      <c r="H327" s="3" t="str">
        <f>IFERROR(__xludf.DUMMYFUNCTION("TRIM(INDEX(SPLIT(C327,""-""),2))"),"RA Kartini")</f>
        <v>RA Kartini</v>
      </c>
      <c r="I327" s="3"/>
      <c r="J327" s="7">
        <v>-6.706103</v>
      </c>
      <c r="K327" s="7">
        <v>111.3420011</v>
      </c>
    </row>
    <row r="328">
      <c r="A328" s="3">
        <f t="shared" si="1"/>
        <v>327</v>
      </c>
      <c r="B328" s="4" t="s">
        <v>10</v>
      </c>
      <c r="C328" s="5" t="s">
        <v>716</v>
      </c>
      <c r="D328" s="6" t="s">
        <v>717</v>
      </c>
      <c r="E328" s="3"/>
      <c r="F328" s="3" t="str">
        <f>IFERROR(__xludf.DUMMYFUNCTION("SWITCH(
  TRUE,
  REGEXMATCH(B328,""Brain Academy""),""BAC"",
  REGEXMATCH(B328,""English Academy""),""EAC"",
  """"
)&amp;"" ""&amp;IFERROR(TRIM(INDEX(SPLIT(C328,""-""),2)),C328)"),"BAC Lebe Kader")</f>
        <v>BAC Lebe Kader</v>
      </c>
      <c r="G328" s="3" t="str">
        <f>IFERROR(__xludf.DUMMYFUNCTION("TRIM(INDEX(SPLIT(C328,""-""),1))"),"Takengon")</f>
        <v>Takengon</v>
      </c>
      <c r="H328" s="3" t="str">
        <f>IFERROR(__xludf.DUMMYFUNCTION("TRIM(INDEX(SPLIT(C328,""-""),2))"),"Lebe Kader")</f>
        <v>Lebe Kader</v>
      </c>
      <c r="I328" s="3"/>
      <c r="J328" s="7">
        <v>4.627712</v>
      </c>
      <c r="K328" s="7">
        <v>96.8448689</v>
      </c>
    </row>
    <row r="329">
      <c r="A329" s="3">
        <f t="shared" si="1"/>
        <v>328</v>
      </c>
      <c r="B329" s="4" t="s">
        <v>10</v>
      </c>
      <c r="C329" s="5" t="s">
        <v>718</v>
      </c>
      <c r="D329" s="6" t="s">
        <v>719</v>
      </c>
      <c r="E329" s="3"/>
      <c r="F329" s="3" t="str">
        <f>IFERROR(__xludf.DUMMYFUNCTION("SWITCH(
  TRUE,
  REGEXMATCH(B329,""Brain Academy""),""BAC"",
  REGEXMATCH(B329,""English Academy""),""EAC"",
  """"
)&amp;"" ""&amp;IFERROR(TRIM(INDEX(SPLIT(C329,""-""),2)),C329)"),"BAC Didi Kartasasmita")</f>
        <v>BAC Didi Kartasasmita</v>
      </c>
      <c r="G329" s="3" t="str">
        <f>IFERROR(__xludf.DUMMYFUNCTION("TRIM(INDEX(SPLIT(C329,""-""),1))"),"Banjar")</f>
        <v>Banjar</v>
      </c>
      <c r="H329" s="3" t="str">
        <f>IFERROR(__xludf.DUMMYFUNCTION("TRIM(INDEX(SPLIT(C329,""-""),2))"),"Didi Kartasasmita")</f>
        <v>Didi Kartasasmita</v>
      </c>
      <c r="I329" s="3"/>
      <c r="J329" s="7">
        <v>-7.367464000000001</v>
      </c>
      <c r="K329" s="7">
        <v>108.5343107</v>
      </c>
    </row>
    <row r="330">
      <c r="A330" s="3">
        <f t="shared" si="1"/>
        <v>329</v>
      </c>
      <c r="B330" s="4" t="s">
        <v>10</v>
      </c>
      <c r="C330" s="5" t="s">
        <v>720</v>
      </c>
      <c r="D330" s="6" t="s">
        <v>721</v>
      </c>
      <c r="E330" s="3"/>
      <c r="F330" s="3" t="str">
        <f>IFERROR(__xludf.DUMMYFUNCTION("SWITCH(
  TRUE,
  REGEXMATCH(B330,""Brain Academy""),""BAC"",
  REGEXMATCH(B330,""English Academy""),""EAC"",
  """"
)&amp;"" ""&amp;IFERROR(TRIM(INDEX(SPLIT(C330,""-""),2)),C330)"),"BAC Malaka Square")</f>
        <v>BAC Malaka Square</v>
      </c>
      <c r="G330" s="3" t="str">
        <f>IFERROR(__xludf.DUMMYFUNCTION("TRIM(INDEX(SPLIT(C330,""-""),1))"),"Kendari")</f>
        <v>Kendari</v>
      </c>
      <c r="H330" s="3" t="str">
        <f>IFERROR(__xludf.DUMMYFUNCTION("TRIM(INDEX(SPLIT(C330,""-""),2))"),"Malaka Square")</f>
        <v>Malaka Square</v>
      </c>
      <c r="I330" s="3"/>
      <c r="J330" s="7">
        <v>-3.9948836</v>
      </c>
      <c r="K330" s="7">
        <v>122.5334712</v>
      </c>
    </row>
    <row r="331">
      <c r="A331" s="3">
        <f t="shared" si="1"/>
        <v>330</v>
      </c>
      <c r="B331" s="4" t="s">
        <v>10</v>
      </c>
      <c r="C331" s="5" t="s">
        <v>722</v>
      </c>
      <c r="D331" s="6" t="s">
        <v>723</v>
      </c>
      <c r="E331" s="3"/>
      <c r="F331" s="3" t="str">
        <f>IFERROR(__xludf.DUMMYFUNCTION("SWITCH(
  TRUE,
  REGEXMATCH(B331,""Brain Academy""),""BAC"",
  REGEXMATCH(B331,""English Academy""),""EAC"",
  """"
)&amp;"" ""&amp;IFERROR(TRIM(INDEX(SPLIT(C331,""-""),2)),C331)"),"BAC Puring")</f>
        <v>BAC Puring</v>
      </c>
      <c r="G331" s="3" t="str">
        <f>IFERROR(__xludf.DUMMYFUNCTION("TRIM(INDEX(SPLIT(C331,""-""),1))"),"Gombong")</f>
        <v>Gombong</v>
      </c>
      <c r="H331" s="3" t="str">
        <f>IFERROR(__xludf.DUMMYFUNCTION("TRIM(INDEX(SPLIT(C331,""-""),2))"),"Puring")</f>
        <v>Puring</v>
      </c>
      <c r="I331" s="3"/>
      <c r="J331" s="7">
        <v>-7.6119808</v>
      </c>
      <c r="K331" s="7">
        <v>109.5094983</v>
      </c>
    </row>
    <row r="332">
      <c r="A332" s="3">
        <f t="shared" si="1"/>
        <v>331</v>
      </c>
      <c r="B332" s="4" t="s">
        <v>10</v>
      </c>
      <c r="C332" s="5" t="s">
        <v>724</v>
      </c>
      <c r="D332" s="6" t="s">
        <v>725</v>
      </c>
      <c r="E332" s="3"/>
      <c r="F332" s="3" t="str">
        <f>IFERROR(__xludf.DUMMYFUNCTION("SWITCH(
  TRUE,
  REGEXMATCH(B332,""Brain Academy""),""BAC"",
  REGEXMATCH(B332,""English Academy""),""EAC"",
  """"
)&amp;"" ""&amp;IFERROR(TRIM(INDEX(SPLIT(C332,""-""),2)),C332)"),"BAC Kapal")</f>
        <v>BAC Kapal</v>
      </c>
      <c r="G332" s="3" t="str">
        <f>IFERROR(__xludf.DUMMYFUNCTION("TRIM(INDEX(SPLIT(C332,""-""),1))"),"Badung")</f>
        <v>Badung</v>
      </c>
      <c r="H332" s="3" t="str">
        <f>IFERROR(__xludf.DUMMYFUNCTION("TRIM(INDEX(SPLIT(C332,""-""),2))"),"Kapal")</f>
        <v>Kapal</v>
      </c>
      <c r="I332" s="3"/>
      <c r="J332" s="7">
        <v>-8.5772002</v>
      </c>
      <c r="K332" s="7">
        <v>115.1807118</v>
      </c>
    </row>
    <row r="333">
      <c r="A333" s="3">
        <f t="shared" si="1"/>
        <v>332</v>
      </c>
      <c r="B333" s="4" t="s">
        <v>10</v>
      </c>
      <c r="C333" s="5" t="s">
        <v>726</v>
      </c>
      <c r="D333" s="6" t="s">
        <v>727</v>
      </c>
      <c r="E333" s="3"/>
      <c r="F333" s="3" t="str">
        <f>IFERROR(__xludf.DUMMYFUNCTION("SWITCH(
  TRUE,
  REGEXMATCH(B333,""Brain Academy""),""BAC"",
  REGEXMATCH(B333,""English Academy""),""EAC"",
  """"
)&amp;"" ""&amp;IFERROR(TRIM(INDEX(SPLIT(C333,""-""),2)),C333)"),"BAC Nauli")</f>
        <v>BAC Nauli</v>
      </c>
      <c r="G333" s="3" t="str">
        <f>IFERROR(__xludf.DUMMYFUNCTION("TRIM(INDEX(SPLIT(C333,""-""),1))"),"Pandan")</f>
        <v>Pandan</v>
      </c>
      <c r="H333" s="3" t="str">
        <f>IFERROR(__xludf.DUMMYFUNCTION("TRIM(INDEX(SPLIT(C333,""-""),2))"),"Nauli")</f>
        <v>Nauli</v>
      </c>
      <c r="I333" s="3"/>
      <c r="J333" s="7">
        <v>1.6946438</v>
      </c>
      <c r="K333" s="7">
        <v>98.8202499</v>
      </c>
    </row>
    <row r="334">
      <c r="A334" s="3">
        <f t="shared" si="1"/>
        <v>333</v>
      </c>
      <c r="B334" s="4" t="s">
        <v>10</v>
      </c>
      <c r="C334" s="5" t="s">
        <v>728</v>
      </c>
      <c r="D334" s="6" t="s">
        <v>729</v>
      </c>
      <c r="E334" s="3"/>
      <c r="F334" s="3" t="str">
        <f>IFERROR(__xludf.DUMMYFUNCTION("SWITCH(
  TRUE,
  REGEXMATCH(B334,""Brain Academy""),""BAC"",
  REGEXMATCH(B334,""English Academy""),""EAC"",
  """"
)&amp;"" ""&amp;IFERROR(TRIM(INDEX(SPLIT(C334,""-""),2)),C334)"),"BAC Gatot Subroto")</f>
        <v>BAC Gatot Subroto</v>
      </c>
      <c r="G334" s="3" t="str">
        <f>IFERROR(__xludf.DUMMYFUNCTION("TRIM(INDEX(SPLIT(C334,""-""),1))"),"Raha")</f>
        <v>Raha</v>
      </c>
      <c r="H334" s="3" t="str">
        <f>IFERROR(__xludf.DUMMYFUNCTION("TRIM(INDEX(SPLIT(C334,""-""),2))"),"Gatot Subroto")</f>
        <v>Gatot Subroto</v>
      </c>
      <c r="I334" s="3"/>
      <c r="J334" s="7">
        <v>-4.8273994</v>
      </c>
      <c r="K334" s="7">
        <v>122.7252011</v>
      </c>
    </row>
    <row r="335">
      <c r="A335" s="3">
        <f t="shared" si="1"/>
        <v>334</v>
      </c>
      <c r="B335" s="4" t="s">
        <v>10</v>
      </c>
      <c r="C335" s="5" t="s">
        <v>730</v>
      </c>
      <c r="D335" s="6" t="s">
        <v>731</v>
      </c>
      <c r="E335" s="3"/>
      <c r="F335" s="3" t="str">
        <f>IFERROR(__xludf.DUMMYFUNCTION("SWITCH(
  TRUE,
  REGEXMATCH(B335,""Brain Academy""),""BAC"",
  REGEXMATCH(B335,""English Academy""),""EAC"",
  """"
)&amp;"" ""&amp;IFERROR(TRIM(INDEX(SPLIT(C335,""-""),2)),C335)"),"BAC FL Tobing")</f>
        <v>BAC FL Tobing</v>
      </c>
      <c r="G335" s="3" t="str">
        <f>IFERROR(__xludf.DUMMYFUNCTION("TRIM(INDEX(SPLIT(C335,""-""),1))"),"Sidikalang")</f>
        <v>Sidikalang</v>
      </c>
      <c r="H335" s="3" t="str">
        <f>IFERROR(__xludf.DUMMYFUNCTION("TRIM(INDEX(SPLIT(C335,""-""),2))"),"FL Tobing")</f>
        <v>FL Tobing</v>
      </c>
      <c r="I335" s="3"/>
      <c r="J335" s="7">
        <v>2.745626</v>
      </c>
      <c r="K335" s="7">
        <v>98.31481269999999</v>
      </c>
    </row>
    <row r="336">
      <c r="A336" s="3">
        <f t="shared" si="1"/>
        <v>335</v>
      </c>
      <c r="B336" s="4" t="s">
        <v>10</v>
      </c>
      <c r="C336" s="5" t="s">
        <v>732</v>
      </c>
      <c r="D336" s="6" t="s">
        <v>733</v>
      </c>
      <c r="E336" s="3"/>
      <c r="F336" s="3" t="str">
        <f>IFERROR(__xludf.DUMMYFUNCTION("SWITCH(
  TRUE,
  REGEXMATCH(B336,""Brain Academy""),""BAC"",
  REGEXMATCH(B336,""English Academy""),""EAC"",
  """"
)&amp;"" ""&amp;IFERROR(TRIM(INDEX(SPLIT(C336,""-""),2)),C336)"),"BAC Pandan")</f>
        <v>BAC Pandan</v>
      </c>
      <c r="G336" s="3" t="str">
        <f>IFERROR(__xludf.DUMMYFUNCTION("TRIM(INDEX(SPLIT(C336,""-""),1))"),"Solok")</f>
        <v>Solok</v>
      </c>
      <c r="H336" s="3" t="str">
        <f>IFERROR(__xludf.DUMMYFUNCTION("TRIM(INDEX(SPLIT(C336,""-""),2))"),"Pandan")</f>
        <v>Pandan</v>
      </c>
      <c r="I336" s="3"/>
      <c r="J336" s="7">
        <v>-0.7887809</v>
      </c>
      <c r="K336" s="7">
        <v>100.6625911</v>
      </c>
    </row>
    <row r="337">
      <c r="A337" s="3">
        <f t="shared" si="1"/>
        <v>336</v>
      </c>
      <c r="B337" s="4" t="s">
        <v>10</v>
      </c>
      <c r="C337" s="5" t="s">
        <v>734</v>
      </c>
      <c r="D337" s="6" t="s">
        <v>735</v>
      </c>
      <c r="E337" s="3"/>
      <c r="F337" s="3" t="str">
        <f>IFERROR(__xludf.DUMMYFUNCTION("SWITCH(
  TRUE,
  REGEXMATCH(B337,""Brain Academy""),""BAC"",
  REGEXMATCH(B337,""English Academy""),""EAC"",
  """"
)&amp;"" ""&amp;IFERROR(TRIM(INDEX(SPLIT(C337,""-""),2)),C337)"),"BAC Mojoagung")</f>
        <v>BAC Mojoagung</v>
      </c>
      <c r="G337" s="3" t="str">
        <f>IFERROR(__xludf.DUMMYFUNCTION("TRIM(INDEX(SPLIT(C337,""-""),1))"),"Jombang")</f>
        <v>Jombang</v>
      </c>
      <c r="H337" s="3" t="str">
        <f>IFERROR(__xludf.DUMMYFUNCTION("TRIM(INDEX(SPLIT(C337,""-""),2))"),"Mojoagung")</f>
        <v>Mojoagung</v>
      </c>
      <c r="I337" s="3"/>
      <c r="J337" s="7">
        <v>-7.570301199999999</v>
      </c>
      <c r="K337" s="7">
        <v>112.3410383</v>
      </c>
    </row>
    <row r="338">
      <c r="A338" s="3">
        <f t="shared" si="1"/>
        <v>337</v>
      </c>
      <c r="B338" s="4" t="s">
        <v>10</v>
      </c>
      <c r="C338" s="5" t="s">
        <v>736</v>
      </c>
      <c r="D338" s="6" t="s">
        <v>737</v>
      </c>
      <c r="E338" s="3"/>
      <c r="F338" s="3" t="str">
        <f>IFERROR(__xludf.DUMMYFUNCTION("SWITCH(
  TRUE,
  REGEXMATCH(B338,""Brain Academy""),""BAC"",
  REGEXMATCH(B338,""English Academy""),""EAC"",
  """"
)&amp;"" ""&amp;IFERROR(TRIM(INDEX(SPLIT(C338,""-""),2)),C338)"),"BAC Letkol Sumarjo")</f>
        <v>BAC Letkol Sumarjo</v>
      </c>
      <c r="G338" s="3" t="str">
        <f>IFERROR(__xludf.DUMMYFUNCTION("TRIM(INDEX(SPLIT(C338,""-""),1))"),"Mojokerto")</f>
        <v>Mojokerto</v>
      </c>
      <c r="H338" s="3" t="str">
        <f>IFERROR(__xludf.DUMMYFUNCTION("TRIM(INDEX(SPLIT(C338,""-""),2))"),"Letkol Sumarjo")</f>
        <v>Letkol Sumarjo</v>
      </c>
      <c r="I338" s="3"/>
      <c r="J338" s="7">
        <v>-7.4631378</v>
      </c>
      <c r="K338" s="7">
        <v>112.4354369</v>
      </c>
    </row>
    <row r="339">
      <c r="A339" s="3">
        <f t="shared" si="1"/>
        <v>338</v>
      </c>
      <c r="B339" s="4" t="s">
        <v>10</v>
      </c>
      <c r="C339" s="5" t="s">
        <v>738</v>
      </c>
      <c r="D339" s="6" t="s">
        <v>739</v>
      </c>
      <c r="E339" s="3"/>
      <c r="F339" s="3" t="str">
        <f>IFERROR(__xludf.DUMMYFUNCTION("SWITCH(
  TRUE,
  REGEXMATCH(B339,""Brain Academy""),""BAC"",
  REGEXMATCH(B339,""English Academy""),""EAC"",
  """"
)&amp;"" ""&amp;IFERROR(TRIM(INDEX(SPLIT(C339,""-""),2)),C339)"),"BAC Pemuda")</f>
        <v>BAC Pemuda</v>
      </c>
      <c r="G339" s="3" t="str">
        <f>IFERROR(__xludf.DUMMYFUNCTION("TRIM(INDEX(SPLIT(C339,""-""),1))"),"Batang")</f>
        <v>Batang</v>
      </c>
      <c r="H339" s="3" t="str">
        <f>IFERROR(__xludf.DUMMYFUNCTION("TRIM(INDEX(SPLIT(C339,""-""),2))"),"Pemuda")</f>
        <v>Pemuda</v>
      </c>
      <c r="I339" s="3"/>
      <c r="J339" s="7">
        <v>-6.9207902</v>
      </c>
      <c r="K339" s="7">
        <v>109.7272159</v>
      </c>
    </row>
    <row r="340">
      <c r="A340" s="3">
        <f t="shared" si="1"/>
        <v>339</v>
      </c>
      <c r="B340" s="4" t="s">
        <v>10</v>
      </c>
      <c r="C340" s="5" t="s">
        <v>740</v>
      </c>
      <c r="D340" s="6" t="s">
        <v>741</v>
      </c>
      <c r="E340" s="3"/>
      <c r="F340" s="3" t="str">
        <f>IFERROR(__xludf.DUMMYFUNCTION("SWITCH(
  TRUE,
  REGEXMATCH(B340,""Brain Academy""),""BAC"",
  REGEXMATCH(B340,""English Academy""),""EAC"",
  """"
)&amp;"" ""&amp;IFERROR(TRIM(INDEX(SPLIT(C340,""-""),2)),C340)"),"BAC Caruban")</f>
        <v>BAC Caruban</v>
      </c>
      <c r="G340" s="3" t="str">
        <f>IFERROR(__xludf.DUMMYFUNCTION("TRIM(INDEX(SPLIT(C340,""-""),1))"),"Madiun")</f>
        <v>Madiun</v>
      </c>
      <c r="H340" s="3" t="str">
        <f>IFERROR(__xludf.DUMMYFUNCTION("TRIM(INDEX(SPLIT(C340,""-""),2))"),"Caruban")</f>
        <v>Caruban</v>
      </c>
      <c r="I340" s="3"/>
      <c r="J340" s="7">
        <v>-7.542264500000001</v>
      </c>
      <c r="K340" s="7">
        <v>111.658758</v>
      </c>
    </row>
    <row r="341">
      <c r="A341" s="3">
        <f t="shared" si="1"/>
        <v>340</v>
      </c>
      <c r="B341" s="4" t="s">
        <v>10</v>
      </c>
      <c r="C341" s="5" t="s">
        <v>742</v>
      </c>
      <c r="D341" s="6" t="s">
        <v>743</v>
      </c>
      <c r="E341" s="3"/>
      <c r="F341" s="3" t="str">
        <f>IFERROR(__xludf.DUMMYFUNCTION("SWITCH(
  TRUE,
  REGEXMATCH(B341,""Brain Academy""),""BAC"",
  REGEXMATCH(B341,""English Academy""),""EAC"",
  """"
)&amp;"" ""&amp;IFERROR(TRIM(INDEX(SPLIT(C341,""-""),2)),C341)"),"BAC Sultan Agung")</f>
        <v>BAC Sultan Agung</v>
      </c>
      <c r="G341" s="3" t="str">
        <f>IFERROR(__xludf.DUMMYFUNCTION("TRIM(INDEX(SPLIT(C341,""-""),1))"),"Brebes")</f>
        <v>Brebes</v>
      </c>
      <c r="H341" s="3" t="str">
        <f>IFERROR(__xludf.DUMMYFUNCTION("TRIM(INDEX(SPLIT(C341,""-""),2))"),"Sultan Agung")</f>
        <v>Sultan Agung</v>
      </c>
      <c r="I341" s="3"/>
      <c r="J341" s="7">
        <v>-6.8766171</v>
      </c>
      <c r="K341" s="7">
        <v>109.0392158</v>
      </c>
    </row>
    <row r="342">
      <c r="A342" s="3">
        <f t="shared" si="1"/>
        <v>341</v>
      </c>
      <c r="B342" s="4" t="s">
        <v>10</v>
      </c>
      <c r="C342" s="5" t="s">
        <v>744</v>
      </c>
      <c r="D342" s="6" t="s">
        <v>745</v>
      </c>
      <c r="E342" s="3"/>
      <c r="F342" s="3" t="str">
        <f>IFERROR(__xludf.DUMMYFUNCTION("SWITCH(
  TRUE,
  REGEXMATCH(B342,""Brain Academy""),""BAC"",
  REGEXMATCH(B342,""English Academy""),""EAC"",
  """"
)&amp;"" ""&amp;IFERROR(TRIM(INDEX(SPLIT(C342,""-""),2)),C342)"),"BAC Baleharjo")</f>
        <v>BAC Baleharjo</v>
      </c>
      <c r="G342" s="3" t="str">
        <f>IFERROR(__xludf.DUMMYFUNCTION("TRIM(INDEX(SPLIT(C342,""-""),1))"),"Pacitan")</f>
        <v>Pacitan</v>
      </c>
      <c r="H342" s="3" t="str">
        <f>IFERROR(__xludf.DUMMYFUNCTION("TRIM(INDEX(SPLIT(C342,""-""),2))"),"Baleharjo")</f>
        <v>Baleharjo</v>
      </c>
      <c r="I342" s="3"/>
      <c r="J342" s="7">
        <v>-8.19657</v>
      </c>
      <c r="K342" s="7">
        <v>111.1037741</v>
      </c>
    </row>
    <row r="343">
      <c r="A343" s="3">
        <f t="shared" si="1"/>
        <v>342</v>
      </c>
      <c r="B343" s="4" t="s">
        <v>10</v>
      </c>
      <c r="C343" s="5" t="s">
        <v>746</v>
      </c>
      <c r="D343" s="6" t="s">
        <v>747</v>
      </c>
      <c r="E343" s="3"/>
      <c r="F343" s="3" t="str">
        <f>IFERROR(__xludf.DUMMYFUNCTION("SWITCH(
  TRUE,
  REGEXMATCH(B343,""Brain Academy""),""BAC"",
  REGEXMATCH(B343,""English Academy""),""EAC"",
  """"
)&amp;"" ""&amp;IFERROR(TRIM(INDEX(SPLIT(C343,""-""),2)),C343)"),"BAC Blok M")</f>
        <v>BAC Blok M</v>
      </c>
      <c r="G343" s="3" t="str">
        <f>IFERROR(__xludf.DUMMYFUNCTION("TRIM(INDEX(SPLIT(C343,""-""),1))"),"Jakarta Selatan")</f>
        <v>Jakarta Selatan</v>
      </c>
      <c r="H343" s="3" t="str">
        <f>IFERROR(__xludf.DUMMYFUNCTION("TRIM(INDEX(SPLIT(C343,""-""),2))"),"Blok M")</f>
        <v>Blok M</v>
      </c>
      <c r="I343" s="4" t="s">
        <v>748</v>
      </c>
      <c r="J343" s="4">
        <v>-6.251158999999999</v>
      </c>
      <c r="K343" s="4">
        <v>106.797664</v>
      </c>
    </row>
    <row r="344">
      <c r="A344" s="3">
        <f t="shared" si="1"/>
        <v>343</v>
      </c>
      <c r="B344" s="4" t="s">
        <v>10</v>
      </c>
      <c r="C344" s="5" t="s">
        <v>749</v>
      </c>
      <c r="D344" s="6" t="s">
        <v>750</v>
      </c>
      <c r="E344" s="3"/>
      <c r="F344" s="3" t="str">
        <f>IFERROR(__xludf.DUMMYFUNCTION("SWITCH(
  TRUE,
  REGEXMATCH(B344,""Brain Academy""),""BAC"",
  REGEXMATCH(B344,""English Academy""),""EAC"",
  """"
)&amp;"" ""&amp;IFERROR(TRIM(INDEX(SPLIT(C344,""-""),2)),C344)"),"BAC Kelapa Gading Plus")</f>
        <v>BAC Kelapa Gading Plus</v>
      </c>
      <c r="G344" s="3" t="str">
        <f>IFERROR(__xludf.DUMMYFUNCTION("TRIM(INDEX(SPLIT(C344,""-""),1))"),"Jakarta Utara")</f>
        <v>Jakarta Utara</v>
      </c>
      <c r="H344" s="4" t="s">
        <v>751</v>
      </c>
      <c r="I344" s="4" t="s">
        <v>752</v>
      </c>
      <c r="J344" s="4">
        <v>-6.1460062</v>
      </c>
      <c r="K344" s="4">
        <v>106.8932903</v>
      </c>
    </row>
    <row r="345">
      <c r="A345" s="3">
        <f t="shared" si="1"/>
        <v>344</v>
      </c>
      <c r="B345" s="4" t="s">
        <v>10</v>
      </c>
      <c r="C345" s="5" t="s">
        <v>753</v>
      </c>
      <c r="D345" s="6" t="s">
        <v>754</v>
      </c>
      <c r="E345" s="3"/>
      <c r="F345" s="3" t="str">
        <f>IFERROR(__xludf.DUMMYFUNCTION("SWITCH(
  TRUE,
  REGEXMATCH(B345,""Brain Academy""),""BAC"",
  REGEXMATCH(B345,""English Academy""),""EAC"",
  """"
)&amp;"" ""&amp;IFERROR(TRIM(INDEX(SPLIT(C345,""-""),2)),C345)"),"BAC Mall Taman Anggrek")</f>
        <v>BAC Mall Taman Anggrek</v>
      </c>
      <c r="G345" s="3" t="str">
        <f>IFERROR(__xludf.DUMMYFUNCTION("TRIM(INDEX(SPLIT(C345,""-""),1))"),"Jakarta Barat")</f>
        <v>Jakarta Barat</v>
      </c>
      <c r="H345" s="3" t="str">
        <f>IFERROR(__xludf.DUMMYFUNCTION("TRIM(INDEX(SPLIT(C345,""-""),2))"),"Mall Taman Anggrek")</f>
        <v>Mall Taman Anggrek</v>
      </c>
      <c r="I345" s="3" t="str">
        <f>IFERROR(__xludf.DUMMYFUNCTION("IFERROR(
TEXTJOIN(CHAR(10),TRUE,
UNIQUE(
FILTER(
'ALL Data Intertest 22 Jul 26'!F:F,
'ALL Data Intertest 22 Jul 26'!B:B=B345,
'ALL Data Intertest 22 Jul 26'!C:C=H345
)
)
),
"""")"),"")</f>
        <v/>
      </c>
      <c r="J345" s="7">
        <v>-6.1784089</v>
      </c>
      <c r="K345" s="7">
        <v>106.7956829</v>
      </c>
    </row>
    <row r="346">
      <c r="A346" s="3">
        <f t="shared" si="1"/>
        <v>345</v>
      </c>
      <c r="B346" s="4" t="s">
        <v>10</v>
      </c>
      <c r="C346" s="5" t="s">
        <v>755</v>
      </c>
      <c r="D346" s="6" t="s">
        <v>756</v>
      </c>
      <c r="E346" s="3"/>
      <c r="F346" s="3" t="str">
        <f>IFERROR(__xludf.DUMMYFUNCTION("SWITCH(
  TRUE,
  REGEXMATCH(B346,""Brain Academy""),""BAC"",
  REGEXMATCH(B346,""English Academy""),""EAC"",
  """"
)&amp;"" ""&amp;IFERROR(TRIM(INDEX(SPLIT(C346,""-""),2)),C346)"),"BAC Resinda Park Mall")</f>
        <v>BAC Resinda Park Mall</v>
      </c>
      <c r="G346" s="3" t="str">
        <f>IFERROR(__xludf.DUMMYFUNCTION("TRIM(INDEX(SPLIT(C346,""-""),1))"),"Karawang")</f>
        <v>Karawang</v>
      </c>
      <c r="H346" s="3" t="str">
        <f>IFERROR(__xludf.DUMMYFUNCTION("TRIM(INDEX(SPLIT(C346,""-""),2))"),"Resinda Park Mall")</f>
        <v>Resinda Park Mall</v>
      </c>
      <c r="I346" s="3" t="str">
        <f>IFERROR(__xludf.DUMMYFUNCTION("IFERROR(
TEXTJOIN(CHAR(10),TRUE,
UNIQUE(
FILTER(
'ALL Data Intertest 22 Jul 26'!F:F,
'ALL Data Intertest 22 Jul 26'!B:B=B346,
'ALL Data Intertest 22 Jul 26'!C:C=H346
)
)
),
"""")"),"")</f>
        <v/>
      </c>
      <c r="J346" s="7">
        <v>-6.3013568</v>
      </c>
      <c r="K346" s="7">
        <v>107.2780537</v>
      </c>
    </row>
    <row r="347">
      <c r="A347" s="3">
        <f t="shared" si="1"/>
        <v>346</v>
      </c>
      <c r="B347" s="4" t="s">
        <v>10</v>
      </c>
      <c r="C347" s="5" t="s">
        <v>757</v>
      </c>
      <c r="D347" s="6" t="s">
        <v>758</v>
      </c>
      <c r="E347" s="3"/>
      <c r="F347" s="3" t="str">
        <f>IFERROR(__xludf.DUMMYFUNCTION("SWITCH(
  TRUE,
  REGEXMATCH(B347,""Brain Academy""),""BAC"",
  REGEXMATCH(B347,""English Academy""),""EAC"",
  """"
)&amp;"" ""&amp;IFERROR(TRIM(INDEX(SPLIT(C347,""-""),2)),C347)"),"BAC Amir Machmud Plus")</f>
        <v>BAC Amir Machmud Plus</v>
      </c>
      <c r="G347" s="3" t="str">
        <f>IFERROR(__xludf.DUMMYFUNCTION("TRIM(INDEX(SPLIT(C347,""-""),1))"),"Cimahi")</f>
        <v>Cimahi</v>
      </c>
      <c r="H347" s="3" t="str">
        <f>IFERROR(__xludf.DUMMYFUNCTION("TRIM(INDEX(SPLIT(C347,""-""),2))"),"Amir Machmud Plus")</f>
        <v>Amir Machmud Plus</v>
      </c>
      <c r="I347" s="3" t="str">
        <f>IFERROR(__xludf.DUMMYFUNCTION("IFERROR(
TEXTJOIN(CHAR(10),TRUE,
UNIQUE(
FILTER(
'ALL Data Intertest 22 Jul 26'!F:F,
'ALL Data Intertest 22 Jul 26'!B:B=B347,
'ALL Data Intertest 22 Jul 26'!C:C=H347
)
)
),
"""")"),"")</f>
        <v/>
      </c>
      <c r="J347" s="7">
        <v>-6.8764736</v>
      </c>
      <c r="K347" s="7">
        <v>107.5467896</v>
      </c>
    </row>
    <row r="348">
      <c r="A348" s="3">
        <f t="shared" si="1"/>
        <v>347</v>
      </c>
      <c r="B348" s="4" t="s">
        <v>10</v>
      </c>
      <c r="C348" s="5" t="s">
        <v>759</v>
      </c>
      <c r="D348" s="6" t="s">
        <v>760</v>
      </c>
      <c r="E348" s="3"/>
      <c r="F348" s="3" t="str">
        <f>IFERROR(__xludf.DUMMYFUNCTION("SWITCH(
  TRUE,
  REGEXMATCH(B348,""Brain Academy""),""BAC"",
  REGEXMATCH(B348,""English Academy""),""EAC"",
  """"
)&amp;"" ""&amp;IFERROR(TRIM(INDEX(SPLIT(C348,""-""),2)),C348)"),"BAC Pangeran Hidayatullah")</f>
        <v>BAC Pangeran Hidayatullah</v>
      </c>
      <c r="G348" s="3" t="str">
        <f>IFERROR(__xludf.DUMMYFUNCTION("TRIM(INDEX(SPLIT(C348,""-""),1))"),"Cianjur")</f>
        <v>Cianjur</v>
      </c>
      <c r="H348" s="3" t="str">
        <f>IFERROR(__xludf.DUMMYFUNCTION("TRIM(INDEX(SPLIT(C348,""-""),2))"),"Pangeran Hidayatullah")</f>
        <v>Pangeran Hidayatullah</v>
      </c>
      <c r="I348" s="3" t="str">
        <f>IFERROR(__xludf.DUMMYFUNCTION("IFERROR(
TEXTJOIN(CHAR(10),TRUE,
UNIQUE(
FILTER(
'ALL Data Intertest 22 Jul 26'!F:F,
'ALL Data Intertest 22 Jul 26'!B:B=B348,
'ALL Data Intertest 22 Jul 26'!C:C=H348
)
)
),
"""")"),"")</f>
        <v/>
      </c>
      <c r="J348" s="7">
        <v>-6.826503</v>
      </c>
      <c r="K348" s="7">
        <v>107.134915</v>
      </c>
    </row>
    <row r="349">
      <c r="A349" s="3">
        <f t="shared" si="1"/>
        <v>348</v>
      </c>
      <c r="B349" s="4" t="s">
        <v>10</v>
      </c>
      <c r="C349" s="5" t="s">
        <v>761</v>
      </c>
      <c r="D349" s="6" t="s">
        <v>762</v>
      </c>
      <c r="E349" s="3"/>
      <c r="F349" s="3" t="str">
        <f>IFERROR(__xludf.DUMMYFUNCTION("SWITCH(
  TRUE,
  REGEXMATCH(B349,""Brain Academy""),""BAC"",
  REGEXMATCH(B349,""English Academy""),""EAC"",
  """"
)&amp;"" ""&amp;IFERROR(TRIM(INDEX(SPLIT(C349,""-""),2)),C349)"),"BAC Letjen Sutoyo")</f>
        <v>BAC Letjen Sutoyo</v>
      </c>
      <c r="G349" s="3" t="str">
        <f>IFERROR(__xludf.DUMMYFUNCTION("TRIM(INDEX(SPLIT(C349,""-""),1))"),"Solo")</f>
        <v>Solo</v>
      </c>
      <c r="H349" s="3" t="str">
        <f>IFERROR(__xludf.DUMMYFUNCTION("TRIM(INDEX(SPLIT(C349,""-""),2))"),"Letjen Sutoyo")</f>
        <v>Letjen Sutoyo</v>
      </c>
      <c r="I349" s="3" t="str">
        <f>IFERROR(__xludf.DUMMYFUNCTION("IFERROR(
TEXTJOIN(CHAR(10),TRUE,
UNIQUE(
FILTER(
'ALL Data Intertest 22 Jul 26'!F:F,
'ALL Data Intertest 22 Jul 26'!B:B=B349,
'ALL Data Intertest 22 Jul 26'!C:C=H349
)
)
),
"""")"),"")</f>
        <v/>
      </c>
      <c r="J349" s="7">
        <v>-7.549249599999999</v>
      </c>
      <c r="K349" s="7">
        <v>110.8302881</v>
      </c>
    </row>
    <row r="350">
      <c r="A350" s="3">
        <f t="shared" si="1"/>
        <v>349</v>
      </c>
      <c r="B350" s="4" t="s">
        <v>10</v>
      </c>
      <c r="C350" s="5" t="s">
        <v>763</v>
      </c>
      <c r="D350" s="6" t="s">
        <v>764</v>
      </c>
      <c r="E350" s="3"/>
      <c r="F350" s="3" t="str">
        <f>IFERROR(__xludf.DUMMYFUNCTION("SWITCH(
  TRUE,
  REGEXMATCH(B350,""Brain Academy""),""BAC"",
  REGEXMATCH(B350,""English Academy""),""EAC"",
  """"
)&amp;"" ""&amp;IFERROR(TRIM(INDEX(SPLIT(C350,""-""),2)),C350)"),"BAC Taman Kamboja")</f>
        <v>BAC Taman Kamboja</v>
      </c>
      <c r="G350" s="3" t="str">
        <f>IFERROR(__xludf.DUMMYFUNCTION("TRIM(INDEX(SPLIT(C350,""-""),1))"),"Banjarmasin")</f>
        <v>Banjarmasin</v>
      </c>
      <c r="H350" s="3" t="str">
        <f>IFERROR(__xludf.DUMMYFUNCTION("TRIM(INDEX(SPLIT(C350,""-""),2))"),"Taman Kamboja")</f>
        <v>Taman Kamboja</v>
      </c>
      <c r="I350" s="3" t="str">
        <f>IFERROR(__xludf.DUMMYFUNCTION("IFERROR(
TEXTJOIN(CHAR(10),TRUE,
UNIQUE(
FILTER(
'ALL Data Intertest 22 Jul 26'!F:F,
'ALL Data Intertest 22 Jul 26'!B:B=B350,
'ALL Data Intertest 22 Jul 26'!C:C=H350
)
)
),
"""")"),"")</f>
        <v/>
      </c>
      <c r="J350" s="7">
        <v>-3.3200778</v>
      </c>
      <c r="K350" s="7">
        <v>114.5871623</v>
      </c>
    </row>
    <row r="351">
      <c r="A351" s="3">
        <f t="shared" si="1"/>
        <v>350</v>
      </c>
      <c r="B351" s="4" t="s">
        <v>10</v>
      </c>
      <c r="C351" s="5" t="s">
        <v>765</v>
      </c>
      <c r="D351" s="6" t="s">
        <v>766</v>
      </c>
      <c r="E351" s="3"/>
      <c r="F351" s="3" t="str">
        <f>IFERROR(__xludf.DUMMYFUNCTION("SWITCH(
  TRUE,
  REGEXMATCH(B351,""Brain Academy""),""BAC"",
  REGEXMATCH(B351,""English Academy""),""EAC"",
  """"
)&amp;"" ""&amp;IFERROR(TRIM(INDEX(SPLIT(C351,""-""),2)),C351)"),"BAC Dr. Cipto Mangunkusumo")</f>
        <v>BAC Dr. Cipto Mangunkusumo</v>
      </c>
      <c r="G351" s="3" t="str">
        <f>IFERROR(__xludf.DUMMYFUNCTION("TRIM(INDEX(SPLIT(C351,""-""),1))"),"Cirebon")</f>
        <v>Cirebon</v>
      </c>
      <c r="H351" s="3" t="str">
        <f>IFERROR(__xludf.DUMMYFUNCTION("TRIM(INDEX(SPLIT(C351,""-""),2))"),"Dr. Cipto Mangunkusumo")</f>
        <v>Dr. Cipto Mangunkusumo</v>
      </c>
      <c r="I351" s="3" t="str">
        <f>IFERROR(__xludf.DUMMYFUNCTION("IFERROR(
TEXTJOIN(CHAR(10),TRUE,
UNIQUE(
FILTER(
'ALL Data Intertest 22 Jul 26'!F:F,
'ALL Data Intertest 22 Jul 26'!B:B=B351,
'ALL Data Intertest 22 Jul 26'!C:C=H351
)
)
),
"""")"),"")</f>
        <v/>
      </c>
      <c r="J351" s="7">
        <v>-6.7271943</v>
      </c>
      <c r="K351" s="7">
        <v>108.5489853</v>
      </c>
    </row>
    <row r="352">
      <c r="A352" s="3">
        <f t="shared" si="1"/>
        <v>351</v>
      </c>
      <c r="B352" s="4" t="s">
        <v>10</v>
      </c>
      <c r="C352" s="5" t="s">
        <v>767</v>
      </c>
      <c r="D352" s="6" t="s">
        <v>768</v>
      </c>
      <c r="E352" s="3"/>
      <c r="F352" s="3" t="str">
        <f>IFERROR(__xludf.DUMMYFUNCTION("SWITCH(
  TRUE,
  REGEXMATCH(B352,""Brain Academy""),""BAC"",
  REGEXMATCH(B352,""English Academy""),""EAC"",
  """"
)&amp;"" ""&amp;IFERROR(TRIM(INDEX(SPLIT(C352,""-""),2)),C352)"),"BAC Ir. Soekarno")</f>
        <v>BAC Ir. Soekarno</v>
      </c>
      <c r="G352" s="3" t="str">
        <f>IFERROR(__xludf.DUMMYFUNCTION("TRIM(INDEX(SPLIT(C352,""-""),1))"),"Pasangkayu")</f>
        <v>Pasangkayu</v>
      </c>
      <c r="H352" s="3" t="str">
        <f>IFERROR(__xludf.DUMMYFUNCTION("TRIM(INDEX(SPLIT(C352,""-""),2))"),"Ir. Soekarno")</f>
        <v>Ir. Soekarno</v>
      </c>
      <c r="I352" s="3" t="str">
        <f>IFERROR(__xludf.DUMMYFUNCTION("IFERROR(
TEXTJOIN(CHAR(10),TRUE,
UNIQUE(
FILTER(
'ALL Data Intertest 22 Jul 26'!F:F,
'ALL Data Intertest 22 Jul 26'!B:B=B352,
'ALL Data Intertest 22 Jul 26'!C:C=H352
)
)
),
"""")"),"")</f>
        <v/>
      </c>
      <c r="J352" s="7">
        <v>-1.1870462</v>
      </c>
      <c r="K352" s="7">
        <v>119.3430315</v>
      </c>
    </row>
    <row r="353">
      <c r="A353" s="3">
        <f t="shared" si="1"/>
        <v>352</v>
      </c>
      <c r="B353" s="4" t="s">
        <v>10</v>
      </c>
      <c r="C353" s="5" t="s">
        <v>769</v>
      </c>
      <c r="D353" s="6" t="s">
        <v>770</v>
      </c>
      <c r="E353" s="3"/>
      <c r="F353" s="3" t="str">
        <f>IFERROR(__xludf.DUMMYFUNCTION("SWITCH(
  TRUE,
  REGEXMATCH(B353,""Brain Academy""),""BAC"",
  REGEXMATCH(B353,""English Academy""),""EAC"",
  """"
)&amp;"" ""&amp;IFERROR(TRIM(INDEX(SPLIT(C353,""-""),2)),C353)"),"BAC Cibadak")</f>
        <v>BAC Cibadak</v>
      </c>
      <c r="G353" s="3" t="str">
        <f>IFERROR(__xludf.DUMMYFUNCTION("TRIM(INDEX(SPLIT(C353,""-""),1))"),"Sukabumi")</f>
        <v>Sukabumi</v>
      </c>
      <c r="H353" s="3" t="str">
        <f>IFERROR(__xludf.DUMMYFUNCTION("TRIM(INDEX(SPLIT(C353,""-""),2))"),"Cibadak")</f>
        <v>Cibadak</v>
      </c>
      <c r="I353" s="3" t="str">
        <f>IFERROR(__xludf.DUMMYFUNCTION("IFERROR(
TEXTJOIN(CHAR(10),TRUE,
UNIQUE(
FILTER(
'ALL Data Intertest 22 Jul 26'!F:F,
'ALL Data Intertest 22 Jul 26'!B:B=B353,
'ALL Data Intertest 22 Jul 26'!C:C=H353
)
)
),
"""")"),"")</f>
        <v/>
      </c>
      <c r="J353" s="7">
        <v>-6.901351399999999</v>
      </c>
      <c r="K353" s="7">
        <v>106.7770598</v>
      </c>
    </row>
    <row r="354">
      <c r="A354" s="3">
        <f t="shared" si="1"/>
        <v>353</v>
      </c>
      <c r="B354" s="4" t="s">
        <v>10</v>
      </c>
      <c r="C354" s="5" t="s">
        <v>771</v>
      </c>
      <c r="D354" s="6" t="s">
        <v>772</v>
      </c>
      <c r="E354" s="3"/>
      <c r="F354" s="3" t="str">
        <f>IFERROR(__xludf.DUMMYFUNCTION("SWITCH(
  TRUE,
  REGEXMATCH(B354,""Brain Academy""),""BAC"",
  REGEXMATCH(B354,""English Academy""),""EAC"",
  """"
)&amp;"" ""&amp;IFERROR(TRIM(INDEX(SPLIT(C354,""-""),2)),C354)"),"BAC Cipondoh")</f>
        <v>BAC Cipondoh</v>
      </c>
      <c r="G354" s="3" t="str">
        <f>IFERROR(__xludf.DUMMYFUNCTION("TRIM(INDEX(SPLIT(C354,""-""),1))"),"Tangerang")</f>
        <v>Tangerang</v>
      </c>
      <c r="H354" s="3" t="str">
        <f>IFERROR(__xludf.DUMMYFUNCTION("TRIM(INDEX(SPLIT(C354,""-""),2))"),"Cipondoh")</f>
        <v>Cipondoh</v>
      </c>
      <c r="I354" s="3" t="str">
        <f>IFERROR(__xludf.DUMMYFUNCTION("IFERROR(
TEXTJOIN(CHAR(10),TRUE,
UNIQUE(
FILTER(
'ALL Data Intertest 22 Jul 26'!F:F,
'ALL Data Intertest 22 Jul 26'!B:B=B354,
'ALL Data Intertest 22 Jul 26'!C:C=H354
)
)
),
"""")"),"")</f>
        <v/>
      </c>
      <c r="J354" s="7">
        <v>-6.1878403</v>
      </c>
      <c r="K354" s="7">
        <v>106.6624579</v>
      </c>
    </row>
    <row r="355">
      <c r="A355" s="3">
        <f t="shared" si="1"/>
        <v>354</v>
      </c>
      <c r="B355" s="4" t="s">
        <v>10</v>
      </c>
      <c r="C355" s="5" t="s">
        <v>773</v>
      </c>
      <c r="D355" s="6" t="s">
        <v>774</v>
      </c>
      <c r="E355" s="3"/>
      <c r="F355" s="3" t="str">
        <f>IFERROR(__xludf.DUMMYFUNCTION("SWITCH(
  TRUE,
  REGEXMATCH(B355,""Brain Academy""),""BAC"",
  REGEXMATCH(B355,""English Academy""),""EAC"",
  """"
)&amp;"" ""&amp;IFERROR(TRIM(INDEX(SPLIT(C355,""-""),2)),C355)"),"BAC Kaliurang KM 10")</f>
        <v>BAC Kaliurang KM 10</v>
      </c>
      <c r="G355" s="3" t="str">
        <f>IFERROR(__xludf.DUMMYFUNCTION("TRIM(INDEX(SPLIT(C355,""-""),1))"),"Yogyakarta")</f>
        <v>Yogyakarta</v>
      </c>
      <c r="H355" s="3" t="str">
        <f>IFERROR(__xludf.DUMMYFUNCTION("TRIM(INDEX(SPLIT(C355,""-""),2))"),"Kaliurang KM 10")</f>
        <v>Kaliurang KM 10</v>
      </c>
      <c r="I355" s="3" t="str">
        <f>IFERROR(__xludf.DUMMYFUNCTION("IFERROR(
TEXTJOIN(CHAR(10),TRUE,
UNIQUE(
FILTER(
'ALL Data Intertest 22 Jul 26'!F:F,
'ALL Data Intertest 22 Jul 26'!B:B=B355,
'ALL Data Intertest 22 Jul 26'!C:C=H355
)
)
),
"""")"),"")</f>
        <v/>
      </c>
      <c r="J355" s="7">
        <v>-7.7233103</v>
      </c>
      <c r="K355" s="7">
        <v>110.4019288</v>
      </c>
    </row>
    <row r="356">
      <c r="A356" s="3">
        <f t="shared" si="1"/>
        <v>355</v>
      </c>
      <c r="B356" s="4" t="s">
        <v>10</v>
      </c>
      <c r="C356" s="5" t="s">
        <v>775</v>
      </c>
      <c r="D356" s="6" t="s">
        <v>776</v>
      </c>
      <c r="E356" s="3"/>
      <c r="F356" s="3" t="str">
        <f>IFERROR(__xludf.DUMMYFUNCTION("SWITCH(
  TRUE,
  REGEXMATCH(B356,""Brain Academy""),""BAC"",
  REGEXMATCH(B356,""English Academy""),""EAC"",
  """"
)&amp;"" ""&amp;IFERROR(TRIM(INDEX(SPLIT(C356,""-""),2)),C356)"),"BAC Ciawi")</f>
        <v>BAC Ciawi</v>
      </c>
      <c r="G356" s="3" t="str">
        <f>IFERROR(__xludf.DUMMYFUNCTION("TRIM(INDEX(SPLIT(C356,""-""),1))"),"Tasikmalaya")</f>
        <v>Tasikmalaya</v>
      </c>
      <c r="H356" s="3" t="str">
        <f>IFERROR(__xludf.DUMMYFUNCTION("TRIM(INDEX(SPLIT(C356,""-""),2))"),"Ciawi")</f>
        <v>Ciawi</v>
      </c>
      <c r="I356" s="3" t="str">
        <f>IFERROR(__xludf.DUMMYFUNCTION("IFERROR(
TEXTJOIN(CHAR(10),TRUE,
UNIQUE(
FILTER(
'ALL Data Intertest 22 Jul 26'!F:F,
'ALL Data Intertest 22 Jul 26'!B:B=B356,
'ALL Data Intertest 22 Jul 26'!C:C=H356
)
)
),
"""")"),"")</f>
        <v/>
      </c>
      <c r="J356" s="7">
        <v>-7.155462500000001</v>
      </c>
      <c r="K356" s="7">
        <v>108.1532436</v>
      </c>
    </row>
    <row r="357">
      <c r="A357" s="3">
        <f t="shared" si="1"/>
        <v>356</v>
      </c>
      <c r="B357" s="4" t="s">
        <v>777</v>
      </c>
      <c r="C357" s="8" t="s">
        <v>724</v>
      </c>
      <c r="D357" s="6" t="s">
        <v>778</v>
      </c>
      <c r="E357" s="3"/>
      <c r="F357" s="3" t="str">
        <f>IFERROR(__xludf.DUMMYFUNCTION("SWITCH(
  TRUE,
  REGEXMATCH(B357,""Brain Academy""),""BAC"",
  REGEXMATCH(B357,""English Academy""),""EAC"",
  """"
)&amp;"" ""&amp;IFERROR(TRIM(INDEX(SPLIT(C357,""-""),2)),C357)"),"EAC Kapal")</f>
        <v>EAC Kapal</v>
      </c>
      <c r="G357" s="3" t="str">
        <f>IFERROR(__xludf.DUMMYFUNCTION("TRIM(INDEX(SPLIT(C357,""-""),1))"),"Badung")</f>
        <v>Badung</v>
      </c>
      <c r="H357" s="3" t="str">
        <f>IFERROR(__xludf.DUMMYFUNCTION("TRIM(INDEX(SPLIT(C357,""-""),2))"),"Kapal")</f>
        <v>Kapal</v>
      </c>
      <c r="I357" s="3" t="str">
        <f>IFERROR(__xludf.DUMMYFUNCTION("IFERROR(
TEXTJOIN(CHAR(10),TRUE,
UNIQUE(
FILTER(
'ALL Data Intertest 22 Jul 26'!F:F,
'ALL Data Intertest 22 Jul 26'!B:B=B357,
'ALL Data Intertest 22 Jul 26'!C:C=H357
)
)
),
"""")"),"")</f>
        <v/>
      </c>
      <c r="J357" s="7">
        <v>-8.5772002</v>
      </c>
      <c r="K357" s="7">
        <v>115.1807118</v>
      </c>
    </row>
    <row r="358">
      <c r="A358" s="3">
        <f t="shared" si="1"/>
        <v>357</v>
      </c>
      <c r="B358" s="4" t="s">
        <v>777</v>
      </c>
      <c r="C358" s="8" t="s">
        <v>654</v>
      </c>
      <c r="D358" s="6" t="s">
        <v>779</v>
      </c>
      <c r="E358" s="3"/>
      <c r="F358" s="3" t="str">
        <f>IFERROR(__xludf.DUMMYFUNCTION("SWITCH(
  TRUE,
  REGEXMATCH(B358,""Brain Academy""),""BAC"",
  REGEXMATCH(B358,""English Academy""),""EAC"",
  """"
)&amp;"" ""&amp;IFERROR(TRIM(INDEX(SPLIT(C358,""-""),2)),C358)"),"EAC Simpang Pujud")</f>
        <v>EAC Simpang Pujud</v>
      </c>
      <c r="G358" s="3" t="str">
        <f>IFERROR(__xludf.DUMMYFUNCTION("TRIM(INDEX(SPLIT(C358,""-""),1))"),"Bagan Batu")</f>
        <v>Bagan Batu</v>
      </c>
      <c r="H358" s="3" t="str">
        <f>IFERROR(__xludf.DUMMYFUNCTION("TRIM(INDEX(SPLIT(C358,""-""),2))"),"Simpang Pujud")</f>
        <v>Simpang Pujud</v>
      </c>
      <c r="I358" s="3" t="str">
        <f>IFERROR(__xludf.DUMMYFUNCTION("IFERROR(
TEXTJOIN(CHAR(10),TRUE,
UNIQUE(
FILTER(
'ALL Data Intertest 22 Jul 26'!F:F,
'ALL Data Intertest 22 Jul 26'!B:B=B358,
'ALL Data Intertest 22 Jul 26'!C:C=H358
)
)
),
"""")"),"")</f>
        <v/>
      </c>
      <c r="J358" s="7">
        <v>1.6994865</v>
      </c>
      <c r="K358" s="7">
        <v>100.5708633</v>
      </c>
    </row>
    <row r="359">
      <c r="A359" s="3">
        <f t="shared" si="1"/>
        <v>358</v>
      </c>
      <c r="B359" s="4" t="s">
        <v>777</v>
      </c>
      <c r="C359" s="8" t="s">
        <v>780</v>
      </c>
      <c r="D359" s="6" t="s">
        <v>781</v>
      </c>
      <c r="E359" s="3"/>
      <c r="F359" s="3" t="str">
        <f>IFERROR(__xludf.DUMMYFUNCTION("SWITCH(
  TRUE,
  REGEXMATCH(B359,""Brain Academy""),""BAC"",
  REGEXMATCH(B359,""English Academy""),""EAC"",
  """"
)&amp;"" ""&amp;IFERROR(TRIM(INDEX(SPLIT(C359,""-""),2)),C359)"),"EAC Jendral Sudirman")</f>
        <v>EAC Jendral Sudirman</v>
      </c>
      <c r="G359" s="3" t="str">
        <f>IFERROR(__xludf.DUMMYFUNCTION("TRIM(INDEX(SPLIT(C359,""-""),1))"),"Balikpapan")</f>
        <v>Balikpapan</v>
      </c>
      <c r="H359" s="3" t="str">
        <f>IFERROR(__xludf.DUMMYFUNCTION("TRIM(INDEX(SPLIT(C359,""-""),2))"),"Jendral Sudirman")</f>
        <v>Jendral Sudirman</v>
      </c>
      <c r="I359" s="3" t="str">
        <f>IFERROR(__xludf.DUMMYFUNCTION("IFERROR(
TEXTJOIN(CHAR(10),TRUE,
UNIQUE(
FILTER(
'ALL Data Intertest 22 Jul 26'!F:F,
'ALL Data Intertest 22 Jul 26'!B:B=B359,
'ALL Data Intertest 22 Jul 26'!C:C=H359
)
)
),
"""")"),"")</f>
        <v/>
      </c>
      <c r="J359" s="7">
        <v>-1.2772969</v>
      </c>
      <c r="K359" s="7">
        <v>116.8359196</v>
      </c>
    </row>
    <row r="360">
      <c r="A360" s="3">
        <f t="shared" si="1"/>
        <v>359</v>
      </c>
      <c r="B360" s="4" t="s">
        <v>777</v>
      </c>
      <c r="C360" s="8" t="s">
        <v>782</v>
      </c>
      <c r="D360" s="6" t="s">
        <v>783</v>
      </c>
      <c r="E360" s="3"/>
      <c r="F360" s="3" t="str">
        <f>IFERROR(__xludf.DUMMYFUNCTION("SWITCH(
  TRUE,
  REGEXMATCH(B360,""Brain Academy""),""BAC"",
  REGEXMATCH(B360,""English Academy""),""EAC"",
  """"
)&amp;"" ""&amp;IFERROR(TRIM(INDEX(SPLIT(C360,""-""),2)),C360)"),"EAC MT Haryono")</f>
        <v>EAC MT Haryono</v>
      </c>
      <c r="G360" s="3" t="str">
        <f>IFERROR(__xludf.DUMMYFUNCTION("TRIM(INDEX(SPLIT(C360,""-""),1))"),"Balikpapan")</f>
        <v>Balikpapan</v>
      </c>
      <c r="H360" s="3" t="str">
        <f>IFERROR(__xludf.DUMMYFUNCTION("TRIM(INDEX(SPLIT(C360,""-""),2))"),"MT Haryono")</f>
        <v>MT Haryono</v>
      </c>
      <c r="I360" s="3" t="str">
        <f>IFERROR(__xludf.DUMMYFUNCTION("IFERROR(
TEXTJOIN(CHAR(10),TRUE,
UNIQUE(
FILTER(
'ALL Data Intertest 22 Jul 26'!F:F,
'ALL Data Intertest 22 Jul 26'!B:B=B360,
'ALL Data Intertest 22 Jul 26'!C:C=H360
)
)
),
"""")"),"")</f>
        <v/>
      </c>
      <c r="J360" s="7">
        <v>-1.2578419</v>
      </c>
      <c r="K360" s="7">
        <v>116.867629</v>
      </c>
    </row>
    <row r="361">
      <c r="A361" s="3">
        <f t="shared" si="1"/>
        <v>360</v>
      </c>
      <c r="B361" s="4" t="s">
        <v>777</v>
      </c>
      <c r="C361" s="8" t="s">
        <v>241</v>
      </c>
      <c r="D361" s="6" t="s">
        <v>784</v>
      </c>
      <c r="E361" s="3"/>
      <c r="F361" s="3" t="str">
        <f>IFERROR(__xludf.DUMMYFUNCTION("SWITCH(
  TRUE,
  REGEXMATCH(B361,""Brain Academy""),""BAC"",
  REGEXMATCH(B361,""English Academy""),""EAC"",
  """"
)&amp;"" ""&amp;IFERROR(TRIM(INDEX(SPLIT(C361,""-""),2)),C361)"),"EAC Jambo Tape")</f>
        <v>EAC Jambo Tape</v>
      </c>
      <c r="G361" s="3" t="str">
        <f>IFERROR(__xludf.DUMMYFUNCTION("TRIM(INDEX(SPLIT(C361,""-""),1))"),"Banda Aceh")</f>
        <v>Banda Aceh</v>
      </c>
      <c r="H361" s="3" t="str">
        <f>IFERROR(__xludf.DUMMYFUNCTION("TRIM(INDEX(SPLIT(C361,""-""),2))"),"Jambo Tape")</f>
        <v>Jambo Tape</v>
      </c>
      <c r="I361" s="3" t="str">
        <f>IFERROR(__xludf.DUMMYFUNCTION("IFERROR(
TEXTJOIN(CHAR(10),TRUE,
UNIQUE(
FILTER(
'ALL Data Intertest 22 Jul 26'!F:F,
'ALL Data Intertest 22 Jul 26'!B:B=B361,
'ALL Data Intertest 22 Jul 26'!C:C=H361
)
)
),
"""")"),"")</f>
        <v/>
      </c>
      <c r="J361" s="7">
        <v>5.561347899999999</v>
      </c>
      <c r="K361" s="7">
        <v>95.330142</v>
      </c>
    </row>
    <row r="362">
      <c r="A362" s="3">
        <f t="shared" si="1"/>
        <v>361</v>
      </c>
      <c r="B362" s="4" t="s">
        <v>777</v>
      </c>
      <c r="C362" s="8" t="s">
        <v>167</v>
      </c>
      <c r="D362" s="6" t="s">
        <v>785</v>
      </c>
      <c r="E362" s="3"/>
      <c r="F362" s="3" t="str">
        <f>IFERROR(__xludf.DUMMYFUNCTION("SWITCH(
  TRUE,
  REGEXMATCH(B362,""Brain Academy""),""BAC"",
  REGEXMATCH(B362,""English Academy""),""EAC"",
  """"
)&amp;"" ""&amp;IFERROR(TRIM(INDEX(SPLIT(C362,""-""),2)),C362)"),"EAC Teuku Nyak Arief")</f>
        <v>EAC Teuku Nyak Arief</v>
      </c>
      <c r="G362" s="3" t="str">
        <f>IFERROR(__xludf.DUMMYFUNCTION("TRIM(INDEX(SPLIT(C362,""-""),1))"),"Banda Aceh")</f>
        <v>Banda Aceh</v>
      </c>
      <c r="H362" s="3" t="str">
        <f>IFERROR(__xludf.DUMMYFUNCTION("TRIM(INDEX(SPLIT(C362,""-""),2))"),"Teuku Nyak Arief")</f>
        <v>Teuku Nyak Arief</v>
      </c>
      <c r="I362" s="3" t="str">
        <f>IFERROR(__xludf.DUMMYFUNCTION("IFERROR(
TEXTJOIN(CHAR(10),TRUE,
UNIQUE(
FILTER(
'ALL Data Intertest 22 Jul 26'!F:F,
'ALL Data Intertest 22 Jul 26'!B:B=B362,
'ALL Data Intertest 22 Jul 26'!C:C=H362
)
)
),
"""")"),"")</f>
        <v/>
      </c>
      <c r="J362" s="7">
        <v>5.5794296</v>
      </c>
      <c r="K362" s="7">
        <v>95.35378159999999</v>
      </c>
    </row>
    <row r="363">
      <c r="A363" s="3">
        <f t="shared" si="1"/>
        <v>362</v>
      </c>
      <c r="B363" s="4" t="s">
        <v>777</v>
      </c>
      <c r="C363" s="8" t="s">
        <v>786</v>
      </c>
      <c r="D363" s="6" t="s">
        <v>787</v>
      </c>
      <c r="E363" s="3"/>
      <c r="F363" s="3" t="str">
        <f>IFERROR(__xludf.DUMMYFUNCTION("SWITCH(
  TRUE,
  REGEXMATCH(B363,""Brain Academy""),""BAC"",
  REGEXMATCH(B363,""English Academy""),""EAC"",
  """"
)&amp;"" ""&amp;IFERROR(TRIM(INDEX(SPLIT(C363,""-""),2)),C363)"),"EAC Gajah Mada")</f>
        <v>EAC Gajah Mada</v>
      </c>
      <c r="G363" s="3" t="str">
        <f>IFERROR(__xludf.DUMMYFUNCTION("TRIM(INDEX(SPLIT(C363,""-""),1))"),"Bandar Lampung")</f>
        <v>Bandar Lampung</v>
      </c>
      <c r="H363" s="3" t="str">
        <f>IFERROR(__xludf.DUMMYFUNCTION("TRIM(INDEX(SPLIT(C363,""-""),2))"),"Gajah Mada")</f>
        <v>Gajah Mada</v>
      </c>
      <c r="I363" s="3" t="str">
        <f>IFERROR(__xludf.DUMMYFUNCTION("IFERROR(
TEXTJOIN(CHAR(10),TRUE,
UNIQUE(
FILTER(
'ALL Data Intertest 22 Jul 26'!F:F,
'ALL Data Intertest 22 Jul 26'!B:B=B363,
'ALL Data Intertest 22 Jul 26'!C:C=H363
)
)
),
"""")"),"")</f>
        <v/>
      </c>
      <c r="J363" s="7">
        <v>-5.414834099999999</v>
      </c>
      <c r="K363" s="7">
        <v>105.2667644</v>
      </c>
    </row>
    <row r="364">
      <c r="A364" s="3">
        <f t="shared" si="1"/>
        <v>363</v>
      </c>
      <c r="B364" s="4" t="s">
        <v>777</v>
      </c>
      <c r="C364" s="8" t="s">
        <v>173</v>
      </c>
      <c r="D364" s="6" t="s">
        <v>788</v>
      </c>
      <c r="E364" s="3"/>
      <c r="F364" s="3" t="str">
        <f>IFERROR(__xludf.DUMMYFUNCTION("SWITCH(
  TRUE,
  REGEXMATCH(B364,""Brain Academy""),""BAC"",
  REGEXMATCH(B364,""English Academy""),""EAC"",
  """"
)&amp;"" ""&amp;IFERROR(TRIM(INDEX(SPLIT(C364,""-""),2)),C364)"),"EAC Sumur Batu")</f>
        <v>EAC Sumur Batu</v>
      </c>
      <c r="G364" s="3" t="str">
        <f>IFERROR(__xludf.DUMMYFUNCTION("TRIM(INDEX(SPLIT(C364,""-""),1))"),"Bandar Lampung")</f>
        <v>Bandar Lampung</v>
      </c>
      <c r="H364" s="3" t="str">
        <f>IFERROR(__xludf.DUMMYFUNCTION("TRIM(INDEX(SPLIT(C364,""-""),2))"),"Sumur Batu")</f>
        <v>Sumur Batu</v>
      </c>
      <c r="I364" s="3" t="str">
        <f>IFERROR(__xludf.DUMMYFUNCTION("IFERROR(
TEXTJOIN(CHAR(10),TRUE,
UNIQUE(
FILTER(
'ALL Data Intertest 22 Jul 26'!F:F,
'ALL Data Intertest 22 Jul 26'!B:B=B364,
'ALL Data Intertest 22 Jul 26'!C:C=H364
)
)
),
"""")"),"")</f>
        <v/>
      </c>
      <c r="J364" s="7">
        <v>-5.4372438</v>
      </c>
      <c r="K364" s="7">
        <v>105.2653721</v>
      </c>
    </row>
    <row r="365">
      <c r="A365" s="3">
        <f t="shared" si="1"/>
        <v>364</v>
      </c>
      <c r="B365" s="4" t="s">
        <v>777</v>
      </c>
      <c r="C365" s="8" t="s">
        <v>245</v>
      </c>
      <c r="D365" s="6" t="s">
        <v>789</v>
      </c>
      <c r="E365" s="3"/>
      <c r="F365" s="3" t="str">
        <f>IFERROR(__xludf.DUMMYFUNCTION("SWITCH(
  TRUE,
  REGEXMATCH(B365,""Brain Academy""),""BAC"",
  REGEXMATCH(B365,""English Academy""),""EAC"",
  """"
)&amp;"" ""&amp;IFERROR(TRIM(INDEX(SPLIT(C365,""-""),2)),C365)"),"EAC Antapani")</f>
        <v>EAC Antapani</v>
      </c>
      <c r="G365" s="3" t="str">
        <f>IFERROR(__xludf.DUMMYFUNCTION("TRIM(INDEX(SPLIT(C365,""-""),1))"),"Bandung")</f>
        <v>Bandung</v>
      </c>
      <c r="H365" s="3" t="str">
        <f>IFERROR(__xludf.DUMMYFUNCTION("TRIM(INDEX(SPLIT(C365,""-""),2))"),"Antapani")</f>
        <v>Antapani</v>
      </c>
      <c r="I365" s="3" t="str">
        <f>IFERROR(__xludf.DUMMYFUNCTION("IFERROR(
TEXTJOIN(CHAR(10),TRUE,
UNIQUE(
FILTER(
'ALL Data Intertest 22 Jul 26'!F:F,
'ALL Data Intertest 22 Jul 26'!B:B=B365,
'ALL Data Intertest 22 Jul 26'!C:C=H365
)
)
),
"""")"),"")</f>
        <v/>
      </c>
      <c r="J365" s="7">
        <v>-6.9130262</v>
      </c>
      <c r="K365" s="7">
        <v>107.6485889</v>
      </c>
    </row>
    <row r="366">
      <c r="A366" s="3">
        <f t="shared" si="1"/>
        <v>365</v>
      </c>
      <c r="B366" s="4" t="s">
        <v>777</v>
      </c>
      <c r="C366" s="8" t="s">
        <v>504</v>
      </c>
      <c r="D366" s="6" t="s">
        <v>790</v>
      </c>
      <c r="E366" s="3"/>
      <c r="F366" s="3" t="str">
        <f>IFERROR(__xludf.DUMMYFUNCTION("SWITCH(
  TRUE,
  REGEXMATCH(B366,""Brain Academy""),""BAC"",
  REGEXMATCH(B366,""English Academy""),""EAC"",
  """"
)&amp;"" ""&amp;IFERROR(TRIM(INDEX(SPLIT(C366,""-""),2)),C366)"),"EAC Baleendah")</f>
        <v>EAC Baleendah</v>
      </c>
      <c r="G366" s="3" t="str">
        <f>IFERROR(__xludf.DUMMYFUNCTION("TRIM(INDEX(SPLIT(C366,""-""),1))"),"Bandung")</f>
        <v>Bandung</v>
      </c>
      <c r="H366" s="3" t="str">
        <f>IFERROR(__xludf.DUMMYFUNCTION("TRIM(INDEX(SPLIT(C366,""-""),2))"),"Baleendah")</f>
        <v>Baleendah</v>
      </c>
      <c r="I366" s="3" t="str">
        <f>IFERROR(__xludf.DUMMYFUNCTION("IFERROR(
TEXTJOIN(CHAR(10),TRUE,
UNIQUE(
FILTER(
'ALL Data Intertest 22 Jul 26'!F:F,
'ALL Data Intertest 22 Jul 26'!B:B=B366,
'ALL Data Intertest 22 Jul 26'!C:C=H366
)
)
),
"""")"),"")</f>
        <v/>
      </c>
      <c r="J366" s="7">
        <v>-7.0101716</v>
      </c>
      <c r="K366" s="7">
        <v>107.6109763</v>
      </c>
    </row>
    <row r="367">
      <c r="A367" s="3">
        <f t="shared" si="1"/>
        <v>366</v>
      </c>
      <c r="B367" s="4" t="s">
        <v>777</v>
      </c>
      <c r="C367" s="8" t="s">
        <v>443</v>
      </c>
      <c r="D367" s="6" t="s">
        <v>444</v>
      </c>
      <c r="E367" s="3"/>
      <c r="F367" s="3" t="str">
        <f>IFERROR(__xludf.DUMMYFUNCTION("SWITCH(
  TRUE,
  REGEXMATCH(B367,""Brain Academy""),""BAC"",
  REGEXMATCH(B367,""English Academy""),""EAC"",
  """"
)&amp;"" ""&amp;IFERROR(TRIM(INDEX(SPLIT(C367,""-""),2)),C367)"),"EAC Bengawan")</f>
        <v>EAC Bengawan</v>
      </c>
      <c r="G367" s="3" t="str">
        <f>IFERROR(__xludf.DUMMYFUNCTION("TRIM(INDEX(SPLIT(C367,""-""),1))"),"Bandung")</f>
        <v>Bandung</v>
      </c>
      <c r="H367" s="3" t="str">
        <f>IFERROR(__xludf.DUMMYFUNCTION("TRIM(INDEX(SPLIT(C367,""-""),2))"),"Bengawan")</f>
        <v>Bengawan</v>
      </c>
      <c r="I367" s="3" t="str">
        <f>IFERROR(__xludf.DUMMYFUNCTION("IFERROR(
TEXTJOIN(CHAR(10),TRUE,
UNIQUE(
FILTER(
'ALL Data Intertest 22 Jul 26'!F:F,
'ALL Data Intertest 22 Jul 26'!B:B=B367,
'ALL Data Intertest 22 Jul 26'!C:C=H367
)
)
),
"""")"),"")</f>
        <v/>
      </c>
      <c r="J367" s="7">
        <v>-6.909747899999999</v>
      </c>
      <c r="K367" s="7">
        <v>107.6279286</v>
      </c>
    </row>
    <row r="368">
      <c r="A368" s="3">
        <f t="shared" si="1"/>
        <v>367</v>
      </c>
      <c r="B368" s="4" t="s">
        <v>777</v>
      </c>
      <c r="C368" s="8" t="s">
        <v>120</v>
      </c>
      <c r="D368" s="6" t="s">
        <v>791</v>
      </c>
      <c r="E368" s="3"/>
      <c r="F368" s="3" t="str">
        <f>IFERROR(__xludf.DUMMYFUNCTION("SWITCH(
  TRUE,
  REGEXMATCH(B368,""Brain Academy""),""BAC"",
  REGEXMATCH(B368,""English Academy""),""EAC"",
  """"
)&amp;"" ""&amp;IFERROR(TRIM(INDEX(SPLIT(C368,""-""),2)),C368)"),"EAC Buahbatu")</f>
        <v>EAC Buahbatu</v>
      </c>
      <c r="G368" s="3" t="str">
        <f>IFERROR(__xludf.DUMMYFUNCTION("TRIM(INDEX(SPLIT(C368,""-""),1))"),"Bandung")</f>
        <v>Bandung</v>
      </c>
      <c r="H368" s="3" t="str">
        <f>IFERROR(__xludf.DUMMYFUNCTION("TRIM(INDEX(SPLIT(C368,""-""),2))"),"Buahbatu")</f>
        <v>Buahbatu</v>
      </c>
      <c r="I368" s="3" t="str">
        <f>IFERROR(__xludf.DUMMYFUNCTION("IFERROR(
TEXTJOIN(CHAR(10),TRUE,
UNIQUE(
FILTER(
'ALL Data Intertest 22 Jul 26'!F:F,
'ALL Data Intertest 22 Jul 26'!B:B=B368,
'ALL Data Intertest 22 Jul 26'!C:C=H368
)
)
),
"""")"),"")</f>
        <v/>
      </c>
      <c r="J368" s="7">
        <v>-6.932407299999999</v>
      </c>
      <c r="K368" s="7">
        <v>107.6181089</v>
      </c>
    </row>
    <row r="369">
      <c r="A369" s="3">
        <f t="shared" si="1"/>
        <v>368</v>
      </c>
      <c r="B369" s="4" t="s">
        <v>777</v>
      </c>
      <c r="C369" s="8" t="s">
        <v>239</v>
      </c>
      <c r="D369" s="6" t="s">
        <v>792</v>
      </c>
      <c r="E369" s="3"/>
      <c r="F369" s="3" t="str">
        <f>IFERROR(__xludf.DUMMYFUNCTION("SWITCH(
  TRUE,
  REGEXMATCH(B369,""Brain Academy""),""BAC"",
  REGEXMATCH(B369,""English Academy""),""EAC"",
  """"
)&amp;"" ""&amp;IFERROR(TRIM(INDEX(SPLIT(C369,""-""),2)),C369)"),"EAC Kopo")</f>
        <v>EAC Kopo</v>
      </c>
      <c r="G369" s="3" t="str">
        <f>IFERROR(__xludf.DUMMYFUNCTION("TRIM(INDEX(SPLIT(C369,""-""),1))"),"Bandung")</f>
        <v>Bandung</v>
      </c>
      <c r="H369" s="3" t="str">
        <f>IFERROR(__xludf.DUMMYFUNCTION("TRIM(INDEX(SPLIT(C369,""-""),2))"),"Kopo")</f>
        <v>Kopo</v>
      </c>
      <c r="I369" s="3" t="str">
        <f>IFERROR(__xludf.DUMMYFUNCTION("IFERROR(
TEXTJOIN(CHAR(10),TRUE,
UNIQUE(
FILTER(
'ALL Data Intertest 22 Jul 26'!F:F,
'ALL Data Intertest 22 Jul 26'!B:B=B369,
'ALL Data Intertest 22 Jul 26'!C:C=H369
)
)
),
"""")"),"")</f>
        <v/>
      </c>
      <c r="J369" s="7">
        <v>-6.9758204</v>
      </c>
      <c r="K369" s="7">
        <v>107.5651397</v>
      </c>
    </row>
    <row r="370">
      <c r="A370" s="3">
        <f t="shared" si="1"/>
        <v>369</v>
      </c>
      <c r="B370" s="4" t="s">
        <v>777</v>
      </c>
      <c r="C370" s="8" t="s">
        <v>271</v>
      </c>
      <c r="D370" s="6" t="s">
        <v>793</v>
      </c>
      <c r="E370" s="3"/>
      <c r="F370" s="3" t="str">
        <f>IFERROR(__xludf.DUMMYFUNCTION("SWITCH(
  TRUE,
  REGEXMATCH(B370,""Brain Academy""),""BAC"",
  REGEXMATCH(B370,""English Academy""),""EAC"",
  """"
)&amp;"" ""&amp;IFERROR(TRIM(INDEX(SPLIT(C370,""-""),2)),C370)"),"EAC MTC")</f>
        <v>EAC MTC</v>
      </c>
      <c r="G370" s="3" t="str">
        <f>IFERROR(__xludf.DUMMYFUNCTION("TRIM(INDEX(SPLIT(C370,""-""),1))"),"Bandung")</f>
        <v>Bandung</v>
      </c>
      <c r="H370" s="3" t="str">
        <f>IFERROR(__xludf.DUMMYFUNCTION("TRIM(INDEX(SPLIT(C370,""-""),2))"),"MTC")</f>
        <v>MTC</v>
      </c>
      <c r="I370" s="3" t="str">
        <f>IFERROR(__xludf.DUMMYFUNCTION("IFERROR(
TEXTJOIN(CHAR(10),TRUE,
UNIQUE(
FILTER(
'ALL Data Intertest 22 Jul 26'!F:F,
'ALL Data Intertest 22 Jul 26'!B:B=B370,
'ALL Data Intertest 22 Jul 26'!C:C=H370
)
)
),
"""")"),"")</f>
        <v/>
      </c>
      <c r="J370" s="7">
        <v>-6.9430841</v>
      </c>
      <c r="K370" s="7">
        <v>107.6596903</v>
      </c>
    </row>
    <row r="371">
      <c r="A371" s="3">
        <f t="shared" si="1"/>
        <v>370</v>
      </c>
      <c r="B371" s="4" t="s">
        <v>777</v>
      </c>
      <c r="C371" s="8" t="s">
        <v>124</v>
      </c>
      <c r="D371" s="6" t="s">
        <v>794</v>
      </c>
      <c r="E371" s="3"/>
      <c r="F371" s="3" t="str">
        <f>IFERROR(__xludf.DUMMYFUNCTION("SWITCH(
  TRUE,
  REGEXMATCH(B371,""Brain Academy""),""BAC"",
  REGEXMATCH(B371,""English Academy""),""EAC"",
  """"
)&amp;"" ""&amp;IFERROR(TRIM(INDEX(SPLIT(C371,""-""),2)),C371)"),"EAC Pajajaran")</f>
        <v>EAC Pajajaran</v>
      </c>
      <c r="G371" s="3" t="str">
        <f>IFERROR(__xludf.DUMMYFUNCTION("TRIM(INDEX(SPLIT(C371,""-""),1))"),"Bandung")</f>
        <v>Bandung</v>
      </c>
      <c r="H371" s="3" t="str">
        <f>IFERROR(__xludf.DUMMYFUNCTION("TRIM(INDEX(SPLIT(C371,""-""),2))"),"Pajajaran")</f>
        <v>Pajajaran</v>
      </c>
      <c r="I371" s="3" t="str">
        <f>IFERROR(__xludf.DUMMYFUNCTION("IFERROR(
TEXTJOIN(CHAR(10),TRUE,
UNIQUE(
FILTER(
'ALL Data Intertest 22 Jul 26'!F:F,
'ALL Data Intertest 22 Jul 26'!B:B=B371,
'ALL Data Intertest 22 Jul 26'!C:C=H371
)
)
),
"""")"),"")</f>
        <v/>
      </c>
      <c r="J371" s="7">
        <v>-6.907467599999999</v>
      </c>
      <c r="K371" s="7">
        <v>107.5825306</v>
      </c>
    </row>
    <row r="372">
      <c r="A372" s="3">
        <f t="shared" si="1"/>
        <v>371</v>
      </c>
      <c r="B372" s="4" t="s">
        <v>777</v>
      </c>
      <c r="C372" s="8" t="s">
        <v>428</v>
      </c>
      <c r="D372" s="6" t="s">
        <v>795</v>
      </c>
      <c r="E372" s="3"/>
      <c r="F372" s="3" t="str">
        <f>IFERROR(__xludf.DUMMYFUNCTION("SWITCH(
  TRUE,
  REGEXMATCH(B372,""Brain Academy""),""BAC"",
  REGEXMATCH(B372,""English Academy""),""EAC"",
  """"
)&amp;"" ""&amp;IFERROR(TRIM(INDEX(SPLIT(C372,""-""),2)),C372)"),"EAC Setiabudi")</f>
        <v>EAC Setiabudi</v>
      </c>
      <c r="G372" s="3" t="str">
        <f>IFERROR(__xludf.DUMMYFUNCTION("TRIM(INDEX(SPLIT(C372,""-""),1))"),"Bandung")</f>
        <v>Bandung</v>
      </c>
      <c r="H372" s="3" t="str">
        <f>IFERROR(__xludf.DUMMYFUNCTION("TRIM(INDEX(SPLIT(C372,""-""),2))"),"Setiabudi")</f>
        <v>Setiabudi</v>
      </c>
      <c r="I372" s="3" t="str">
        <f>IFERROR(__xludf.DUMMYFUNCTION("IFERROR(
TEXTJOIN(CHAR(10),TRUE,
UNIQUE(
FILTER(
'ALL Data Intertest 22 Jul 26'!F:F,
'ALL Data Intertest 22 Jul 26'!B:B=B372,
'ALL Data Intertest 22 Jul 26'!C:C=H372
)
)
),
"""")"),"")</f>
        <v/>
      </c>
      <c r="J372" s="7">
        <v>-6.874301</v>
      </c>
      <c r="K372" s="7">
        <v>107.596338</v>
      </c>
    </row>
    <row r="373">
      <c r="A373" s="3">
        <f t="shared" si="1"/>
        <v>372</v>
      </c>
      <c r="B373" s="4" t="s">
        <v>777</v>
      </c>
      <c r="C373" s="8" t="s">
        <v>718</v>
      </c>
      <c r="D373" s="6" t="s">
        <v>796</v>
      </c>
      <c r="E373" s="3"/>
      <c r="F373" s="3" t="str">
        <f>IFERROR(__xludf.DUMMYFUNCTION("SWITCH(
  TRUE,
  REGEXMATCH(B373,""Brain Academy""),""BAC"",
  REGEXMATCH(B373,""English Academy""),""EAC"",
  """"
)&amp;"" ""&amp;IFERROR(TRIM(INDEX(SPLIT(C373,""-""),2)),C373)"),"EAC Didi Kartasasmita")</f>
        <v>EAC Didi Kartasasmita</v>
      </c>
      <c r="G373" s="3" t="str">
        <f>IFERROR(__xludf.DUMMYFUNCTION("TRIM(INDEX(SPLIT(C373,""-""),1))"),"Banjar")</f>
        <v>Banjar</v>
      </c>
      <c r="H373" s="3" t="str">
        <f>IFERROR(__xludf.DUMMYFUNCTION("TRIM(INDEX(SPLIT(C373,""-""),2))"),"Didi Kartasasmita")</f>
        <v>Didi Kartasasmita</v>
      </c>
      <c r="I373" s="3" t="str">
        <f>IFERROR(__xludf.DUMMYFUNCTION("IFERROR(
TEXTJOIN(CHAR(10),TRUE,
UNIQUE(
FILTER(
'ALL Data Intertest 22 Jul 26'!F:F,
'ALL Data Intertest 22 Jul 26'!B:B=B373,
'ALL Data Intertest 22 Jul 26'!C:C=H373
)
)
),
"""")"),"")</f>
        <v/>
      </c>
      <c r="J373" s="7">
        <v>-7.3648096</v>
      </c>
      <c r="K373" s="7">
        <v>108.5346702</v>
      </c>
    </row>
    <row r="374">
      <c r="A374" s="3">
        <f t="shared" si="1"/>
        <v>373</v>
      </c>
      <c r="B374" s="4" t="s">
        <v>777</v>
      </c>
      <c r="C374" s="8" t="s">
        <v>310</v>
      </c>
      <c r="D374" s="6" t="s">
        <v>797</v>
      </c>
      <c r="E374" s="3"/>
      <c r="F374" s="3" t="str">
        <f>IFERROR(__xludf.DUMMYFUNCTION("SWITCH(
  TRUE,
  REGEXMATCH(B374,""Brain Academy""),""BAC"",
  REGEXMATCH(B374,""English Academy""),""EAC"",
  """"
)&amp;"" ""&amp;IFERROR(TRIM(INDEX(SPLIT(C374,""-""),2)),C374)"),"EAC Ahmad Yani")</f>
        <v>EAC Ahmad Yani</v>
      </c>
      <c r="G374" s="3" t="str">
        <f>IFERROR(__xludf.DUMMYFUNCTION("TRIM(INDEX(SPLIT(C374,""-""),1))"),"Banjarbaru")</f>
        <v>Banjarbaru</v>
      </c>
      <c r="H374" s="3" t="str">
        <f>IFERROR(__xludf.DUMMYFUNCTION("TRIM(INDEX(SPLIT(C374,""-""),2))"),"Ahmad Yani")</f>
        <v>Ahmad Yani</v>
      </c>
      <c r="I374" s="3" t="str">
        <f>IFERROR(__xludf.DUMMYFUNCTION("IFERROR(
TEXTJOIN(CHAR(10),TRUE,
UNIQUE(
FILTER(
'ALL Data Intertest 22 Jul 26'!F:F,
'ALL Data Intertest 22 Jul 26'!B:B=B374,
'ALL Data Intertest 22 Jul 26'!C:C=H374
)
)
),
"""")"),"")</f>
        <v/>
      </c>
      <c r="J374" s="7">
        <v>-3.446462</v>
      </c>
      <c r="K374" s="7">
        <v>114.8080748</v>
      </c>
    </row>
    <row r="375">
      <c r="A375" s="3">
        <f t="shared" si="1"/>
        <v>374</v>
      </c>
      <c r="B375" s="4" t="s">
        <v>777</v>
      </c>
      <c r="C375" s="8" t="s">
        <v>161</v>
      </c>
      <c r="D375" s="6" t="s">
        <v>798</v>
      </c>
      <c r="E375" s="3"/>
      <c r="F375" s="3" t="str">
        <f>IFERROR(__xludf.DUMMYFUNCTION("SWITCH(
  TRUE,
  REGEXMATCH(B375,""Brain Academy""),""BAC"",
  REGEXMATCH(B375,""English Academy""),""EAC"",
  """"
)&amp;"" ""&amp;IFERROR(TRIM(INDEX(SPLIT(C375,""-""),2)),C375)"),"EAC Gatot Subroto")</f>
        <v>EAC Gatot Subroto</v>
      </c>
      <c r="G375" s="3" t="str">
        <f>IFERROR(__xludf.DUMMYFUNCTION("TRIM(INDEX(SPLIT(C375,""-""),1))"),"Banjarmasin")</f>
        <v>Banjarmasin</v>
      </c>
      <c r="H375" s="3" t="str">
        <f>IFERROR(__xludf.DUMMYFUNCTION("TRIM(INDEX(SPLIT(C375,""-""),2))"),"Gatot Subroto")</f>
        <v>Gatot Subroto</v>
      </c>
      <c r="I375" s="3" t="str">
        <f>IFERROR(__xludf.DUMMYFUNCTION("IFERROR(
TEXTJOIN(CHAR(10),TRUE,
UNIQUE(
FILTER(
'ALL Data Intertest 22 Jul 26'!F:F,
'ALL Data Intertest 22 Jul 26'!B:B=B375,
'ALL Data Intertest 22 Jul 26'!C:C=H375
)
)
),
"""")"),"")</f>
        <v/>
      </c>
      <c r="J375" s="7">
        <v>-3.329498</v>
      </c>
      <c r="K375" s="7">
        <v>114.6164285</v>
      </c>
    </row>
    <row r="376">
      <c r="A376" s="3">
        <f t="shared" si="1"/>
        <v>375</v>
      </c>
      <c r="B376" s="4" t="s">
        <v>777</v>
      </c>
      <c r="C376" s="8" t="s">
        <v>312</v>
      </c>
      <c r="D376" s="6" t="s">
        <v>799</v>
      </c>
      <c r="E376" s="3"/>
      <c r="F376" s="3" t="str">
        <f>IFERROR(__xludf.DUMMYFUNCTION("SWITCH(
  TRUE,
  REGEXMATCH(B376,""Brain Academy""),""BAC"",
  REGEXMATCH(B376,""English Academy""),""EAC"",
  """"
)&amp;"" ""&amp;IFERROR(TRIM(INDEX(SPLIT(C376,""-""),2)),C376)"),"EAC Hasan Bashri")</f>
        <v>EAC Hasan Bashri</v>
      </c>
      <c r="G376" s="3" t="str">
        <f>IFERROR(__xludf.DUMMYFUNCTION("TRIM(INDEX(SPLIT(C376,""-""),1))"),"Banjarmasin")</f>
        <v>Banjarmasin</v>
      </c>
      <c r="H376" s="3" t="str">
        <f>IFERROR(__xludf.DUMMYFUNCTION("TRIM(INDEX(SPLIT(C376,""-""),2))"),"Hasan Bashri")</f>
        <v>Hasan Bashri</v>
      </c>
      <c r="I376" s="3" t="str">
        <f>IFERROR(__xludf.DUMMYFUNCTION("IFERROR(
TEXTJOIN(CHAR(10),TRUE,
UNIQUE(
FILTER(
'ALL Data Intertest 22 Jul 26'!F:F,
'ALL Data Intertest 22 Jul 26'!B:B=B376,
'ALL Data Intertest 22 Jul 26'!C:C=H376
)
)
),
"""")"),"")</f>
        <v/>
      </c>
      <c r="J376" s="7">
        <v>-3.2795687</v>
      </c>
      <c r="K376" s="7">
        <v>114.5879555</v>
      </c>
    </row>
    <row r="377">
      <c r="A377" s="3">
        <f t="shared" si="1"/>
        <v>376</v>
      </c>
      <c r="B377" s="4" t="s">
        <v>777</v>
      </c>
      <c r="C377" s="8" t="s">
        <v>763</v>
      </c>
      <c r="D377" s="6" t="s">
        <v>800</v>
      </c>
      <c r="E377" s="3"/>
      <c r="F377" s="3" t="str">
        <f>IFERROR(__xludf.DUMMYFUNCTION("SWITCH(
  TRUE,
  REGEXMATCH(B377,""Brain Academy""),""BAC"",
  REGEXMATCH(B377,""English Academy""),""EAC"",
  """"
)&amp;"" ""&amp;IFERROR(TRIM(INDEX(SPLIT(C377,""-""),2)),C377)"),"EAC Taman Kamboja")</f>
        <v>EAC Taman Kamboja</v>
      </c>
      <c r="G377" s="3" t="str">
        <f>IFERROR(__xludf.DUMMYFUNCTION("TRIM(INDEX(SPLIT(C377,""-""),1))"),"Banjarmasin")</f>
        <v>Banjarmasin</v>
      </c>
      <c r="H377" s="3" t="str">
        <f>IFERROR(__xludf.DUMMYFUNCTION("TRIM(INDEX(SPLIT(C377,""-""),2))"),"Taman Kamboja")</f>
        <v>Taman Kamboja</v>
      </c>
      <c r="I377" s="3" t="str">
        <f>IFERROR(__xludf.DUMMYFUNCTION("IFERROR(
TEXTJOIN(CHAR(10),TRUE,
UNIQUE(
FILTER(
'ALL Data Intertest 22 Jul 26'!F:F,
'ALL Data Intertest 22 Jul 26'!B:B=B377,
'ALL Data Intertest 22 Jul 26'!C:C=H377
)
)
),
"""")"),"")</f>
        <v/>
      </c>
      <c r="J377" s="7">
        <v>-3.3200778</v>
      </c>
      <c r="K377" s="7">
        <v>114.5871623</v>
      </c>
    </row>
    <row r="378">
      <c r="A378" s="3">
        <f t="shared" si="1"/>
        <v>377</v>
      </c>
      <c r="B378" s="4" t="s">
        <v>777</v>
      </c>
      <c r="C378" s="8" t="s">
        <v>328</v>
      </c>
      <c r="D378" s="6" t="s">
        <v>801</v>
      </c>
      <c r="E378" s="3"/>
      <c r="F378" s="3" t="str">
        <f>IFERROR(__xludf.DUMMYFUNCTION("SWITCH(
  TRUE,
  REGEXMATCH(B378,""Brain Academy""),""BAC"",
  REGEXMATCH(B378,""English Academy""),""EAC"",
  """"
)&amp;"" ""&amp;IFERROR(TRIM(INDEX(SPLIT(C378,""-""),2)),C378)"),"EAC Brawijaya")</f>
        <v>EAC Brawijaya</v>
      </c>
      <c r="G378" s="3" t="str">
        <f>IFERROR(__xludf.DUMMYFUNCTION("TRIM(INDEX(SPLIT(C378,""-""),1))"),"Banyuwangi")</f>
        <v>Banyuwangi</v>
      </c>
      <c r="H378" s="3" t="str">
        <f>IFERROR(__xludf.DUMMYFUNCTION("TRIM(INDEX(SPLIT(C378,""-""),2))"),"Brawijaya")</f>
        <v>Brawijaya</v>
      </c>
      <c r="I378" s="3" t="str">
        <f>IFERROR(__xludf.DUMMYFUNCTION("IFERROR(
TEXTJOIN(CHAR(10),TRUE,
UNIQUE(
FILTER(
'ALL Data Intertest 22 Jul 26'!F:F,
'ALL Data Intertest 22 Jul 26'!B:B=B378,
'ALL Data Intertest 22 Jul 26'!C:C=H378
)
)
),
"""")"),"")</f>
        <v/>
      </c>
      <c r="J378" s="7">
        <v>-8.220011399999999</v>
      </c>
      <c r="K378" s="7">
        <v>114.348222</v>
      </c>
    </row>
    <row r="379">
      <c r="A379" s="3">
        <f t="shared" si="1"/>
        <v>378</v>
      </c>
      <c r="B379" s="4" t="s">
        <v>777</v>
      </c>
      <c r="C379" s="8" t="s">
        <v>323</v>
      </c>
      <c r="D379" s="6" t="s">
        <v>802</v>
      </c>
      <c r="E379" s="3"/>
      <c r="F379" s="3" t="str">
        <f>IFERROR(__xludf.DUMMYFUNCTION("SWITCH(
  TRUE,
  REGEXMATCH(B379,""Brain Academy""),""BAC"",
  REGEXMATCH(B379,""English Academy""),""EAC"",
  """"
)&amp;"" ""&amp;IFERROR(TRIM(INDEX(SPLIT(C379,""-""),2)),C379)"),"EAC Batam Center")</f>
        <v>EAC Batam Center</v>
      </c>
      <c r="G379" s="3" t="str">
        <f>IFERROR(__xludf.DUMMYFUNCTION("TRIM(INDEX(SPLIT(C379,""-""),1))"),"Batam")</f>
        <v>Batam</v>
      </c>
      <c r="H379" s="3" t="str">
        <f>IFERROR(__xludf.DUMMYFUNCTION("TRIM(INDEX(SPLIT(C379,""-""),2))"),"Batam Center")</f>
        <v>Batam Center</v>
      </c>
      <c r="I379" s="3" t="str">
        <f>IFERROR(__xludf.DUMMYFUNCTION("IFERROR(
TEXTJOIN(CHAR(10),TRUE,
UNIQUE(
FILTER(
'ALL Data Intertest 22 Jul 26'!F:F,
'ALL Data Intertest 22 Jul 26'!B:B=B379,
'ALL Data Intertest 22 Jul 26'!C:C=H379
)
)
),
"""")"),"")</f>
        <v/>
      </c>
      <c r="J379" s="7">
        <v>1.1117609</v>
      </c>
      <c r="K379" s="7">
        <v>104.0351942</v>
      </c>
    </row>
    <row r="380">
      <c r="A380" s="3">
        <f t="shared" si="1"/>
        <v>379</v>
      </c>
      <c r="B380" s="4" t="s">
        <v>777</v>
      </c>
      <c r="C380" s="8" t="s">
        <v>448</v>
      </c>
      <c r="D380" s="6" t="s">
        <v>803</v>
      </c>
      <c r="E380" s="3"/>
      <c r="F380" s="3" t="str">
        <f>IFERROR(__xludf.DUMMYFUNCTION("SWITCH(
  TRUE,
  REGEXMATCH(B380,""Brain Academy""),""BAC"",
  REGEXMATCH(B380,""English Academy""),""EAC"",
  """"
)&amp;"" ""&amp;IFERROR(TRIM(INDEX(SPLIT(C380,""-""),2)),C380)"),"EAC Agus Salim")</f>
        <v>EAC Agus Salim</v>
      </c>
      <c r="G380" s="3" t="str">
        <f>IFERROR(__xludf.DUMMYFUNCTION("TRIM(INDEX(SPLIT(C380,""-""),1))"),"Batu")</f>
        <v>Batu</v>
      </c>
      <c r="H380" s="3" t="str">
        <f>IFERROR(__xludf.DUMMYFUNCTION("TRIM(INDEX(SPLIT(C380,""-""),2))"),"Agus Salim")</f>
        <v>Agus Salim</v>
      </c>
      <c r="I380" s="3" t="str">
        <f>IFERROR(__xludf.DUMMYFUNCTION("IFERROR(
TEXTJOIN(CHAR(10),TRUE,
UNIQUE(
FILTER(
'ALL Data Intertest 22 Jul 26'!F:F,
'ALL Data Intertest 22 Jul 26'!B:B=B380,
'ALL Data Intertest 22 Jul 26'!C:C=H380
)
)
),
"""")"),"")</f>
        <v/>
      </c>
      <c r="J380" s="7">
        <v>-7.8825699</v>
      </c>
      <c r="K380" s="7">
        <v>112.5296886</v>
      </c>
    </row>
    <row r="381">
      <c r="A381" s="3">
        <f t="shared" si="1"/>
        <v>380</v>
      </c>
      <c r="B381" s="4" t="s">
        <v>777</v>
      </c>
      <c r="C381" s="8" t="s">
        <v>610</v>
      </c>
      <c r="D381" s="6" t="s">
        <v>804</v>
      </c>
      <c r="E381" s="3"/>
      <c r="F381" s="3" t="str">
        <f>IFERROR(__xludf.DUMMYFUNCTION("SWITCH(
  TRUE,
  REGEXMATCH(B381,""Brain Academy""),""BAC"",
  REGEXMATCH(B381,""English Academy""),""EAC"",
  """"
)&amp;"" ""&amp;IFERROR(TRIM(INDEX(SPLIT(C381,""-""),2)),C381)"),"EAC Batara Guru")</f>
        <v>EAC Batara Guru</v>
      </c>
      <c r="G381" s="3" t="str">
        <f>IFERROR(__xludf.DUMMYFUNCTION("TRIM(INDEX(SPLIT(C381,""-""),1))"),"BauBau")</f>
        <v>BauBau</v>
      </c>
      <c r="H381" s="3" t="str">
        <f>IFERROR(__xludf.DUMMYFUNCTION("TRIM(INDEX(SPLIT(C381,""-""),2))"),"Batara Guru")</f>
        <v>Batara Guru</v>
      </c>
      <c r="I381" s="3" t="str">
        <f>IFERROR(__xludf.DUMMYFUNCTION("IFERROR(
TEXTJOIN(CHAR(10),TRUE,
UNIQUE(
FILTER(
'ALL Data Intertest 22 Jul 26'!F:F,
'ALL Data Intertest 22 Jul 26'!B:B=B381,
'ALL Data Intertest 22 Jul 26'!C:C=H381
)
)
),
"""")"),"")</f>
        <v/>
      </c>
      <c r="J381" s="7">
        <v>-5.4617884</v>
      </c>
      <c r="K381" s="7">
        <v>122.6024428</v>
      </c>
    </row>
    <row r="382">
      <c r="A382" s="3">
        <f t="shared" si="1"/>
        <v>381</v>
      </c>
      <c r="B382" s="4" t="s">
        <v>777</v>
      </c>
      <c r="C382" s="8" t="s">
        <v>408</v>
      </c>
      <c r="D382" s="6" t="s">
        <v>805</v>
      </c>
      <c r="E382" s="3"/>
      <c r="F382" s="3" t="str">
        <f>IFERROR(__xludf.DUMMYFUNCTION("SWITCH(
  TRUE,
  REGEXMATCH(B382,""Brain Academy""),""BAC"",
  REGEXMATCH(B382,""English Academy""),""EAC"",
  """"
)&amp;"" ""&amp;IFERROR(TRIM(INDEX(SPLIT(C382,""-""),2)),C382)"),"EAC Bintara")</f>
        <v>EAC Bintara</v>
      </c>
      <c r="G382" s="3" t="str">
        <f>IFERROR(__xludf.DUMMYFUNCTION("TRIM(INDEX(SPLIT(C382,""-""),1))"),"Bekasi")</f>
        <v>Bekasi</v>
      </c>
      <c r="H382" s="3" t="str">
        <f>IFERROR(__xludf.DUMMYFUNCTION("TRIM(INDEX(SPLIT(C382,""-""),2))"),"Bintara")</f>
        <v>Bintara</v>
      </c>
      <c r="I382" s="3" t="str">
        <f>IFERROR(__xludf.DUMMYFUNCTION("IFERROR(
TEXTJOIN(CHAR(10),TRUE,
UNIQUE(
FILTER(
'ALL Data Intertest 22 Jul 26'!F:F,
'ALL Data Intertest 22 Jul 26'!B:B=B382,
'ALL Data Intertest 22 Jul 26'!C:C=H382
)
)
),
"""")"),"")</f>
        <v/>
      </c>
      <c r="J382" s="7">
        <v>-6.2306075</v>
      </c>
      <c r="K382" s="7">
        <v>106.9520424</v>
      </c>
    </row>
    <row r="383">
      <c r="A383" s="3">
        <f t="shared" si="1"/>
        <v>382</v>
      </c>
      <c r="B383" s="4" t="s">
        <v>777</v>
      </c>
      <c r="C383" s="8" t="s">
        <v>11</v>
      </c>
      <c r="D383" s="6" t="s">
        <v>806</v>
      </c>
      <c r="E383" s="3"/>
      <c r="F383" s="3" t="str">
        <f>IFERROR(__xludf.DUMMYFUNCTION("SWITCH(
  TRUE,
  REGEXMATCH(B383,""Brain Academy""),""BAC"",
  REGEXMATCH(B383,""English Academy""),""EAC"",
  """"
)&amp;"" ""&amp;IFERROR(TRIM(INDEX(SPLIT(C383,""-""),2)),C383)"),"EAC Cibubur")</f>
        <v>EAC Cibubur</v>
      </c>
      <c r="G383" s="3" t="str">
        <f>IFERROR(__xludf.DUMMYFUNCTION("TRIM(INDEX(SPLIT(C383,""-""),1))"),"Bekasi")</f>
        <v>Bekasi</v>
      </c>
      <c r="H383" s="3" t="str">
        <f>IFERROR(__xludf.DUMMYFUNCTION("TRIM(INDEX(SPLIT(C383,""-""),2))"),"Cibubur")</f>
        <v>Cibubur</v>
      </c>
      <c r="I383" s="3" t="str">
        <f>IFERROR(__xludf.DUMMYFUNCTION("IFERROR(
TEXTJOIN(CHAR(10),TRUE,
UNIQUE(
FILTER(
'ALL Data Intertest 22 Jul 26'!F:F,
'ALL Data Intertest 22 Jul 26'!B:B=B383,
'ALL Data Intertest 22 Jul 26'!C:C=H383
)
)
),
"""")"),"")</f>
        <v/>
      </c>
      <c r="J383" s="7">
        <v>-6.378555599999999</v>
      </c>
      <c r="K383" s="7">
        <v>106.9159398</v>
      </c>
    </row>
    <row r="384">
      <c r="A384" s="3">
        <f t="shared" si="1"/>
        <v>383</v>
      </c>
      <c r="B384" s="4" t="s">
        <v>777</v>
      </c>
      <c r="C384" s="8" t="s">
        <v>183</v>
      </c>
      <c r="D384" s="6" t="s">
        <v>807</v>
      </c>
      <c r="E384" s="3"/>
      <c r="F384" s="3" t="str">
        <f>IFERROR(__xludf.DUMMYFUNCTION("SWITCH(
  TRUE,
  REGEXMATCH(B384,""Brain Academy""),""BAC"",
  REGEXMATCH(B384,""English Academy""),""EAC"",
  """"
)&amp;"" ""&amp;IFERROR(TRIM(INDEX(SPLIT(C384,""-""),2)),C384)"),"EAC Galaxy")</f>
        <v>EAC Galaxy</v>
      </c>
      <c r="G384" s="3" t="str">
        <f>IFERROR(__xludf.DUMMYFUNCTION("TRIM(INDEX(SPLIT(C384,""-""),1))"),"Bekasi")</f>
        <v>Bekasi</v>
      </c>
      <c r="H384" s="3" t="str">
        <f>IFERROR(__xludf.DUMMYFUNCTION("TRIM(INDEX(SPLIT(C384,""-""),2))"),"Galaxy")</f>
        <v>Galaxy</v>
      </c>
      <c r="I384" s="3" t="str">
        <f>IFERROR(__xludf.DUMMYFUNCTION("IFERROR(
TEXTJOIN(CHAR(10),TRUE,
UNIQUE(
FILTER(
'ALL Data Intertest 22 Jul 26'!F:F,
'ALL Data Intertest 22 Jul 26'!B:B=B384,
'ALL Data Intertest 22 Jul 26'!C:C=H384
)
)
),
"""")"),"")</f>
        <v/>
      </c>
      <c r="J384" s="7">
        <v>-6.267395</v>
      </c>
      <c r="K384" s="7">
        <v>106.9694878</v>
      </c>
    </row>
    <row r="385">
      <c r="A385" s="3">
        <f t="shared" si="1"/>
        <v>384</v>
      </c>
      <c r="B385" s="4" t="s">
        <v>777</v>
      </c>
      <c r="C385" s="8" t="s">
        <v>808</v>
      </c>
      <c r="D385" s="6" t="s">
        <v>809</v>
      </c>
      <c r="E385" s="3"/>
      <c r="F385" s="3" t="str">
        <f>IFERROR(__xludf.DUMMYFUNCTION("SWITCH(
  TRUE,
  REGEXMATCH(B385,""Brain Academy""),""BAC"",
  REGEXMATCH(B385,""English Academy""),""EAC"",
  """"
)&amp;"" ""&amp;IFERROR(TRIM(INDEX(SPLIT(C385,""-""),2)),C385)"),"EAC Grand Wisata")</f>
        <v>EAC Grand Wisata</v>
      </c>
      <c r="G385" s="3" t="str">
        <f>IFERROR(__xludf.DUMMYFUNCTION("TRIM(INDEX(SPLIT(C385,""-""),1))"),"Bekasi")</f>
        <v>Bekasi</v>
      </c>
      <c r="H385" s="3" t="str">
        <f>IFERROR(__xludf.DUMMYFUNCTION("TRIM(INDEX(SPLIT(C385,""-""),2))"),"Grand Wisata")</f>
        <v>Grand Wisata</v>
      </c>
      <c r="I385" s="3" t="str">
        <f>IFERROR(__xludf.DUMMYFUNCTION("IFERROR(
TEXTJOIN(CHAR(10),TRUE,
UNIQUE(
FILTER(
'ALL Data Intertest 22 Jul 26'!F:F,
'ALL Data Intertest 22 Jul 26'!B:B=B385,
'ALL Data Intertest 22 Jul 26'!C:C=H385
)
)
),
"""")"),"")</f>
        <v/>
      </c>
      <c r="J385" s="7">
        <v>-6.2813627</v>
      </c>
      <c r="K385" s="7">
        <v>107.042613</v>
      </c>
    </row>
    <row r="386">
      <c r="A386" s="3">
        <f t="shared" si="1"/>
        <v>385</v>
      </c>
      <c r="B386" s="4" t="s">
        <v>777</v>
      </c>
      <c r="C386" s="8" t="s">
        <v>42</v>
      </c>
      <c r="D386" s="6" t="s">
        <v>810</v>
      </c>
      <c r="E386" s="3"/>
      <c r="F386" s="3" t="str">
        <f>IFERROR(__xludf.DUMMYFUNCTION("SWITCH(
  TRUE,
  REGEXMATCH(B386,""Brain Academy""),""BAC"",
  REGEXMATCH(B386,""English Academy""),""EAC"",
  """"
)&amp;"" ""&amp;IFERROR(TRIM(INDEX(SPLIT(C386,""-""),2)),C386)"),"EAC Harapan Indah")</f>
        <v>EAC Harapan Indah</v>
      </c>
      <c r="G386" s="3" t="str">
        <f>IFERROR(__xludf.DUMMYFUNCTION("TRIM(INDEX(SPLIT(C386,""-""),1))"),"Bekasi")</f>
        <v>Bekasi</v>
      </c>
      <c r="H386" s="3" t="str">
        <f>IFERROR(__xludf.DUMMYFUNCTION("TRIM(INDEX(SPLIT(C386,""-""),2))"),"Harapan Indah")</f>
        <v>Harapan Indah</v>
      </c>
      <c r="I386" s="3" t="str">
        <f>IFERROR(__xludf.DUMMYFUNCTION("IFERROR(
TEXTJOIN(CHAR(10),TRUE,
UNIQUE(
FILTER(
'ALL Data Intertest 22 Jul 26'!F:F,
'ALL Data Intertest 22 Jul 26'!B:B=B386,
'ALL Data Intertest 22 Jul 26'!C:C=H386
)
)
),
"""")"),"")</f>
        <v/>
      </c>
      <c r="J386" s="7">
        <v>-6.184850399999999</v>
      </c>
      <c r="K386" s="7">
        <v>106.9837237</v>
      </c>
    </row>
    <row r="387">
      <c r="A387" s="3">
        <f t="shared" si="1"/>
        <v>386</v>
      </c>
      <c r="B387" s="4" t="s">
        <v>777</v>
      </c>
      <c r="C387" s="8" t="s">
        <v>92</v>
      </c>
      <c r="D387" s="6" t="s">
        <v>811</v>
      </c>
      <c r="E387" s="3"/>
      <c r="F387" s="3" t="str">
        <f>IFERROR(__xludf.DUMMYFUNCTION("SWITCH(
  TRUE,
  REGEXMATCH(B387,""Brain Academy""),""BAC"",
  REGEXMATCH(B387,""English Academy""),""EAC"",
  """"
)&amp;"" ""&amp;IFERROR(TRIM(INDEX(SPLIT(C387,""-""),2)),C387)"),"EAC Jatiasih")</f>
        <v>EAC Jatiasih</v>
      </c>
      <c r="G387" s="3" t="str">
        <f>IFERROR(__xludf.DUMMYFUNCTION("TRIM(INDEX(SPLIT(C387,""-""),1))"),"Bekasi")</f>
        <v>Bekasi</v>
      </c>
      <c r="H387" s="3" t="str">
        <f>IFERROR(__xludf.DUMMYFUNCTION("TRIM(INDEX(SPLIT(C387,""-""),2))"),"Jatiasih")</f>
        <v>Jatiasih</v>
      </c>
      <c r="I387" s="3" t="str">
        <f>IFERROR(__xludf.DUMMYFUNCTION("IFERROR(
TEXTJOIN(CHAR(10),TRUE,
UNIQUE(
FILTER(
'ALL Data Intertest 22 Jul 26'!F:F,
'ALL Data Intertest 22 Jul 26'!B:B=B387,
'ALL Data Intertest 22 Jul 26'!C:C=H387
)
)
),
"""")"),"")</f>
        <v/>
      </c>
      <c r="J387" s="7">
        <v>-6.2947259</v>
      </c>
      <c r="K387" s="7">
        <v>106.9653232</v>
      </c>
    </row>
    <row r="388">
      <c r="A388" s="3">
        <f t="shared" si="1"/>
        <v>387</v>
      </c>
      <c r="B388" s="4" t="s">
        <v>777</v>
      </c>
      <c r="C388" s="8" t="s">
        <v>108</v>
      </c>
      <c r="D388" s="6" t="s">
        <v>812</v>
      </c>
      <c r="E388" s="3"/>
      <c r="F388" s="3" t="str">
        <f>IFERROR(__xludf.DUMMYFUNCTION("SWITCH(
  TRUE,
  REGEXMATCH(B388,""Brain Academy""),""BAC"",
  REGEXMATCH(B388,""English Academy""),""EAC"",
  """"
)&amp;"" ""&amp;IFERROR(TRIM(INDEX(SPLIT(C388,""-""),2)),C388)"),"EAC Summarecon")</f>
        <v>EAC Summarecon</v>
      </c>
      <c r="G388" s="3" t="str">
        <f>IFERROR(__xludf.DUMMYFUNCTION("TRIM(INDEX(SPLIT(C388,""-""),1))"),"Bekasi")</f>
        <v>Bekasi</v>
      </c>
      <c r="H388" s="3" t="str">
        <f>IFERROR(__xludf.DUMMYFUNCTION("TRIM(INDEX(SPLIT(C388,""-""),2))"),"Summarecon")</f>
        <v>Summarecon</v>
      </c>
      <c r="I388" s="3" t="str">
        <f>IFERROR(__xludf.DUMMYFUNCTION("IFERROR(
TEXTJOIN(CHAR(10),TRUE,
UNIQUE(
FILTER(
'ALL Data Intertest 22 Jul 26'!F:F,
'ALL Data Intertest 22 Jul 26'!B:B=B388,
'ALL Data Intertest 22 Jul 26'!C:C=H388
)
)
),
"""")"),"")</f>
        <v/>
      </c>
      <c r="J388" s="7">
        <v>-6.2291737</v>
      </c>
      <c r="K388" s="7">
        <v>106.9996013</v>
      </c>
    </row>
    <row r="389">
      <c r="A389" s="3">
        <f t="shared" si="1"/>
        <v>388</v>
      </c>
      <c r="B389" s="4" t="s">
        <v>777</v>
      </c>
      <c r="C389" s="8" t="s">
        <v>44</v>
      </c>
      <c r="D389" s="6" t="s">
        <v>813</v>
      </c>
      <c r="E389" s="3"/>
      <c r="F389" s="3" t="str">
        <f>IFERROR(__xludf.DUMMYFUNCTION("SWITCH(
  TRUE,
  REGEXMATCH(B389,""Brain Academy""),""BAC"",
  REGEXMATCH(B389,""English Academy""),""EAC"",
  """"
)&amp;"" ""&amp;IFERROR(TRIM(INDEX(SPLIT(C389,""-""),2)),C389)"),"EAC Tambun")</f>
        <v>EAC Tambun</v>
      </c>
      <c r="G389" s="3" t="str">
        <f>IFERROR(__xludf.DUMMYFUNCTION("TRIM(INDEX(SPLIT(C389,""-""),1))"),"Bekasi")</f>
        <v>Bekasi</v>
      </c>
      <c r="H389" s="3" t="str">
        <f>IFERROR(__xludf.DUMMYFUNCTION("TRIM(INDEX(SPLIT(C389,""-""),2))"),"Tambun")</f>
        <v>Tambun</v>
      </c>
      <c r="I389" s="3" t="str">
        <f>IFERROR(__xludf.DUMMYFUNCTION("IFERROR(
TEXTJOIN(CHAR(10),TRUE,
UNIQUE(
FILTER(
'ALL Data Intertest 22 Jul 26'!F:F,
'ALL Data Intertest 22 Jul 26'!B:B=B389,
'ALL Data Intertest 22 Jul 26'!C:C=H389
)
)
),
"""")"),"")</f>
        <v/>
      </c>
      <c r="J389" s="7">
        <v>-6.2640354</v>
      </c>
      <c r="K389" s="7">
        <v>107.0731836</v>
      </c>
    </row>
    <row r="390">
      <c r="A390" s="3">
        <f t="shared" si="1"/>
        <v>389</v>
      </c>
      <c r="B390" s="4" t="s">
        <v>777</v>
      </c>
      <c r="C390" s="8" t="s">
        <v>630</v>
      </c>
      <c r="D390" s="6" t="s">
        <v>814</v>
      </c>
      <c r="E390" s="3"/>
      <c r="F390" s="3" t="str">
        <f>IFERROR(__xludf.DUMMYFUNCTION("SWITCH(
  TRUE,
  REGEXMATCH(B390,""Brain Academy""),""BAC"",
  REGEXMATCH(B390,""English Academy""),""EAC"",
  """"
)&amp;"" ""&amp;IFERROR(TRIM(INDEX(SPLIT(C390,""-""),2)),C390)"),"EAC Argamakmur")</f>
        <v>EAC Argamakmur</v>
      </c>
      <c r="G390" s="3" t="str">
        <f>IFERROR(__xludf.DUMMYFUNCTION("TRIM(INDEX(SPLIT(C390,""-""),1))"),"Bengkulu")</f>
        <v>Bengkulu</v>
      </c>
      <c r="H390" s="3" t="str">
        <f>IFERROR(__xludf.DUMMYFUNCTION("TRIM(INDEX(SPLIT(C390,""-""),2))"),"Argamakmur")</f>
        <v>Argamakmur</v>
      </c>
      <c r="I390" s="3" t="str">
        <f>IFERROR(__xludf.DUMMYFUNCTION("IFERROR(
TEXTJOIN(CHAR(10),TRUE,
UNIQUE(
FILTER(
'ALL Data Intertest 22 Jul 26'!F:F,
'ALL Data Intertest 22 Jul 26'!B:B=B390,
'ALL Data Intertest 22 Jul 26'!C:C=H390
)
)
),
"""")"),"")</f>
        <v/>
      </c>
      <c r="J390" s="7">
        <v>-3.4427966</v>
      </c>
      <c r="K390" s="7">
        <v>102.1757032</v>
      </c>
    </row>
    <row r="391">
      <c r="A391" s="3">
        <f t="shared" si="1"/>
        <v>390</v>
      </c>
      <c r="B391" s="4" t="s">
        <v>777</v>
      </c>
      <c r="C391" s="8" t="s">
        <v>532</v>
      </c>
      <c r="D391" s="6" t="s">
        <v>815</v>
      </c>
      <c r="E391" s="3"/>
      <c r="F391" s="3" t="str">
        <f>IFERROR(__xludf.DUMMYFUNCTION("SWITCH(
  TRUE,
  REGEXMATCH(B391,""Brain Academy""),""BAC"",
  REGEXMATCH(B391,""English Academy""),""EAC"",
  """"
)&amp;"" ""&amp;IFERROR(TRIM(INDEX(SPLIT(C391,""-""),2)),C391)"),"EAC Manna")</f>
        <v>EAC Manna</v>
      </c>
      <c r="G391" s="3" t="str">
        <f>IFERROR(__xludf.DUMMYFUNCTION("TRIM(INDEX(SPLIT(C391,""-""),1))"),"Bengkulu")</f>
        <v>Bengkulu</v>
      </c>
      <c r="H391" s="3" t="str">
        <f>IFERROR(__xludf.DUMMYFUNCTION("TRIM(INDEX(SPLIT(C391,""-""),2))"),"Manna")</f>
        <v>Manna</v>
      </c>
      <c r="I391" s="3" t="str">
        <f>IFERROR(__xludf.DUMMYFUNCTION("IFERROR(
TEXTJOIN(CHAR(10),TRUE,
UNIQUE(
FILTER(
'ALL Data Intertest 22 Jul 26'!F:F,
'ALL Data Intertest 22 Jul 26'!B:B=B391,
'ALL Data Intertest 22 Jul 26'!C:C=H391
)
)
),
"""")"),"")</f>
        <v/>
      </c>
      <c r="J391" s="7">
        <v>-4.460936</v>
      </c>
      <c r="K391" s="7">
        <v>102.9184028</v>
      </c>
    </row>
    <row r="392">
      <c r="A392" s="3">
        <f t="shared" si="1"/>
        <v>391</v>
      </c>
      <c r="B392" s="4" t="s">
        <v>777</v>
      </c>
      <c r="C392" s="8" t="s">
        <v>83</v>
      </c>
      <c r="D392" s="6" t="s">
        <v>816</v>
      </c>
      <c r="E392" s="3"/>
      <c r="F392" s="3" t="str">
        <f>IFERROR(__xludf.DUMMYFUNCTION("SWITCH(
  TRUE,
  REGEXMATCH(B392,""Brain Academy""),""BAC"",
  REGEXMATCH(B392,""English Academy""),""EAC"",
  """"
)&amp;"" ""&amp;IFERROR(TRIM(INDEX(SPLIT(C392,""-""),2)),C392)"),"EAC S. Parman")</f>
        <v>EAC S. Parman</v>
      </c>
      <c r="G392" s="3" t="str">
        <f>IFERROR(__xludf.DUMMYFUNCTION("TRIM(INDEX(SPLIT(C392,""-""),1))"),"Bengkulu")</f>
        <v>Bengkulu</v>
      </c>
      <c r="H392" s="3" t="str">
        <f>IFERROR(__xludf.DUMMYFUNCTION("TRIM(INDEX(SPLIT(C392,""-""),2))"),"S. Parman")</f>
        <v>S. Parman</v>
      </c>
      <c r="I392" s="3" t="str">
        <f>IFERROR(__xludf.DUMMYFUNCTION("IFERROR(
TEXTJOIN(CHAR(10),TRUE,
UNIQUE(
FILTER(
'ALL Data Intertest 22 Jul 26'!F:F,
'ALL Data Intertest 22 Jul 26'!B:B=B392,
'ALL Data Intertest 22 Jul 26'!C:C=H392
)
)
),
"""")"),"")</f>
        <v/>
      </c>
      <c r="J392" s="7">
        <v>-3.8006354</v>
      </c>
      <c r="K392" s="7">
        <v>102.2735809</v>
      </c>
    </row>
    <row r="393">
      <c r="A393" s="3">
        <f t="shared" si="1"/>
        <v>392</v>
      </c>
      <c r="B393" s="4" t="s">
        <v>777</v>
      </c>
      <c r="C393" s="8" t="s">
        <v>817</v>
      </c>
      <c r="D393" s="6" t="s">
        <v>818</v>
      </c>
      <c r="E393" s="3"/>
      <c r="F393" s="3" t="str">
        <f>IFERROR(__xludf.DUMMYFUNCTION("SWITCH(
  TRUE,
  REGEXMATCH(B393,""Brain Academy""),""BAC"",
  REGEXMATCH(B393,""English Academy""),""EAC"",
  """"
)&amp;"" ""&amp;IFERROR(TRIM(INDEX(SPLIT(C393,""-""),2)),C393)"),"EAC Durian")</f>
        <v>EAC Durian</v>
      </c>
      <c r="G393" s="3" t="str">
        <f>IFERROR(__xludf.DUMMYFUNCTION("TRIM(INDEX(SPLIT(C393,""-""),1))"),"Berau")</f>
        <v>Berau</v>
      </c>
      <c r="H393" s="3" t="str">
        <f>IFERROR(__xludf.DUMMYFUNCTION("TRIM(INDEX(SPLIT(C393,""-""),2))"),"Durian")</f>
        <v>Durian</v>
      </c>
      <c r="I393" s="3" t="str">
        <f>IFERROR(__xludf.DUMMYFUNCTION("IFERROR(
TEXTJOIN(CHAR(10),TRUE,
UNIQUE(
FILTER(
'ALL Data Intertest 22 Jul 26'!F:F,
'ALL Data Intertest 22 Jul 26'!B:B=B393,
'ALL Data Intertest 22 Jul 26'!C:C=H393
)
)
),
"""")"),"")</f>
        <v/>
      </c>
      <c r="J393" s="7">
        <v>2.147662</v>
      </c>
      <c r="K393" s="7">
        <v>117.4907734</v>
      </c>
    </row>
    <row r="394">
      <c r="A394" s="3">
        <f t="shared" si="1"/>
        <v>393</v>
      </c>
      <c r="B394" s="4" t="s">
        <v>777</v>
      </c>
      <c r="C394" s="8" t="s">
        <v>646</v>
      </c>
      <c r="D394" s="6" t="s">
        <v>647</v>
      </c>
      <c r="E394" s="3"/>
      <c r="F394" s="3" t="str">
        <f>IFERROR(__xludf.DUMMYFUNCTION("SWITCH(
  TRUE,
  REGEXMATCH(B394,""Brain Academy""),""BAC"",
  REGEXMATCH(B394,""English Academy""),""EAC"",
  """"
)&amp;"" ""&amp;IFERROR(TRIM(INDEX(SPLIT(C394,""-""),2)),C394)"),"EAC Ramania")</f>
        <v>EAC Ramania</v>
      </c>
      <c r="G394" s="3" t="str">
        <f>IFERROR(__xludf.DUMMYFUNCTION("TRIM(INDEX(SPLIT(C394,""-""),1))"),"Berau")</f>
        <v>Berau</v>
      </c>
      <c r="H394" s="3" t="str">
        <f>IFERROR(__xludf.DUMMYFUNCTION("TRIM(INDEX(SPLIT(C394,""-""),2))"),"Ramania")</f>
        <v>Ramania</v>
      </c>
      <c r="I394" s="3" t="str">
        <f>IFERROR(__xludf.DUMMYFUNCTION("IFERROR(
TEXTJOIN(CHAR(10),TRUE,
UNIQUE(
FILTER(
'ALL Data Intertest 22 Jul 26'!F:F,
'ALL Data Intertest 22 Jul 26'!B:B=B394,
'ALL Data Intertest 22 Jul 26'!C:C=H394
)
)
),
"""")"),"")</f>
        <v/>
      </c>
      <c r="J394" s="7">
        <v>2.1503566</v>
      </c>
      <c r="K394" s="7">
        <v>117.5026383</v>
      </c>
    </row>
    <row r="395">
      <c r="A395" s="3">
        <f t="shared" si="1"/>
        <v>394</v>
      </c>
      <c r="B395" s="4" t="s">
        <v>777</v>
      </c>
      <c r="C395" s="8" t="s">
        <v>620</v>
      </c>
      <c r="D395" s="6" t="s">
        <v>819</v>
      </c>
      <c r="E395" s="3"/>
      <c r="F395" s="3" t="str">
        <f>IFERROR(__xludf.DUMMYFUNCTION("SWITCH(
  TRUE,
  REGEXMATCH(B395,""Brain Academy""),""BAC"",
  REGEXMATCH(B395,""English Academy""),""EAC"",
  """"
)&amp;"" ""&amp;IFERROR(TRIM(INDEX(SPLIT(C395,""-""),2)),C395)"),"EAC Gajah Mada")</f>
        <v>EAC Gajah Mada</v>
      </c>
      <c r="G395" s="3" t="str">
        <f>IFERROR(__xludf.DUMMYFUNCTION("TRIM(INDEX(SPLIT(C395,""-""),1))"),"Bima")</f>
        <v>Bima</v>
      </c>
      <c r="H395" s="3" t="str">
        <f>IFERROR(__xludf.DUMMYFUNCTION("TRIM(INDEX(SPLIT(C395,""-""),2))"),"Gajah Mada")</f>
        <v>Gajah Mada</v>
      </c>
      <c r="I395" s="3" t="str">
        <f>IFERROR(__xludf.DUMMYFUNCTION("IFERROR(
TEXTJOIN(CHAR(10),TRUE,
UNIQUE(
FILTER(
'ALL Data Intertest 22 Jul 26'!F:F,
'ALL Data Intertest 22 Jul 26'!B:B=B395,
'ALL Data Intertest 22 Jul 26'!C:C=H395
)
)
),
"""")"),"")</f>
        <v/>
      </c>
      <c r="J395" s="7">
        <v>-8.4605164</v>
      </c>
      <c r="K395" s="7">
        <v>118.7546082</v>
      </c>
    </row>
    <row r="396">
      <c r="A396" s="3">
        <f t="shared" si="1"/>
        <v>395</v>
      </c>
      <c r="B396" s="4" t="s">
        <v>777</v>
      </c>
      <c r="C396" s="8" t="s">
        <v>604</v>
      </c>
      <c r="D396" s="6" t="s">
        <v>820</v>
      </c>
      <c r="E396" s="3"/>
      <c r="F396" s="3" t="str">
        <f>IFERROR(__xludf.DUMMYFUNCTION("SWITCH(
  TRUE,
  REGEXMATCH(B396,""Brain Academy""),""BAC"",
  REGEXMATCH(B396,""English Academy""),""EAC"",
  """"
)&amp;"" ""&amp;IFERROR(TRIM(INDEX(SPLIT(C396,""-""),2)),C396)"),"EAC Girian")</f>
        <v>EAC Girian</v>
      </c>
      <c r="G396" s="3" t="str">
        <f>IFERROR(__xludf.DUMMYFUNCTION("TRIM(INDEX(SPLIT(C396,""-""),1))"),"Bitung")</f>
        <v>Bitung</v>
      </c>
      <c r="H396" s="3" t="str">
        <f>IFERROR(__xludf.DUMMYFUNCTION("TRIM(INDEX(SPLIT(C396,""-""),2))"),"Girian")</f>
        <v>Girian</v>
      </c>
      <c r="I396" s="3" t="str">
        <f>IFERROR(__xludf.DUMMYFUNCTION("IFERROR(
TEXTJOIN(CHAR(10),TRUE,
UNIQUE(
FILTER(
'ALL Data Intertest 22 Jul 26'!F:F,
'ALL Data Intertest 22 Jul 26'!B:B=B396,
'ALL Data Intertest 22 Jul 26'!C:C=H396
)
)
),
"""")"),"")</f>
        <v/>
      </c>
      <c r="J396" s="7">
        <v>1.4399853</v>
      </c>
      <c r="K396" s="7">
        <v>125.131867</v>
      </c>
    </row>
    <row r="397">
      <c r="A397" s="3">
        <f t="shared" si="1"/>
        <v>396</v>
      </c>
      <c r="B397" s="4" t="s">
        <v>777</v>
      </c>
      <c r="C397" s="8" t="s">
        <v>226</v>
      </c>
      <c r="D397" s="6" t="s">
        <v>821</v>
      </c>
      <c r="E397" s="3"/>
      <c r="F397" s="3" t="str">
        <f>IFERROR(__xludf.DUMMYFUNCTION("SWITCH(
  TRUE,
  REGEXMATCH(B397,""Brain Academy""),""BAC"",
  REGEXMATCH(B397,""English Academy""),""EAC"",
  """"
)&amp;"" ""&amp;IFERROR(TRIM(INDEX(SPLIT(C397,""-""),2)),C397)"),"EAC Bung Karno")</f>
        <v>EAC Bung Karno</v>
      </c>
      <c r="G397" s="3" t="str">
        <f>IFERROR(__xludf.DUMMYFUNCTION("TRIM(INDEX(SPLIT(C397,""-""),1))"),"Blitar")</f>
        <v>Blitar</v>
      </c>
      <c r="H397" s="3" t="str">
        <f>IFERROR(__xludf.DUMMYFUNCTION("TRIM(INDEX(SPLIT(C397,""-""),2))"),"Bung Karno")</f>
        <v>Bung Karno</v>
      </c>
      <c r="I397" s="3" t="str">
        <f>IFERROR(__xludf.DUMMYFUNCTION("IFERROR(
TEXTJOIN(CHAR(10),TRUE,
UNIQUE(
FILTER(
'ALL Data Intertest 22 Jul 26'!F:F,
'ALL Data Intertest 22 Jul 26'!B:B=B397,
'ALL Data Intertest 22 Jul 26'!C:C=H397
)
)
),
"""")"),"")</f>
        <v/>
      </c>
      <c r="J397" s="7">
        <v>-8.103933</v>
      </c>
      <c r="K397" s="7">
        <v>112.181015</v>
      </c>
    </row>
    <row r="398">
      <c r="A398" s="3">
        <f t="shared" si="1"/>
        <v>397</v>
      </c>
      <c r="B398" s="4" t="s">
        <v>777</v>
      </c>
      <c r="C398" s="8" t="s">
        <v>822</v>
      </c>
      <c r="D398" s="6" t="s">
        <v>823</v>
      </c>
      <c r="E398" s="3"/>
      <c r="F398" s="3" t="str">
        <f>IFERROR(__xludf.DUMMYFUNCTION("SWITCH(
  TRUE,
  REGEXMATCH(B398,""Brain Academy""),""BAC"",
  REGEXMATCH(B398,""English Academy""),""EAC"",
  """"
)&amp;"" ""&amp;IFERROR(TRIM(INDEX(SPLIT(C398,""-""),2)),C398)"),"EAC Air Mancur")</f>
        <v>EAC Air Mancur</v>
      </c>
      <c r="G398" s="3" t="str">
        <f>IFERROR(__xludf.DUMMYFUNCTION("TRIM(INDEX(SPLIT(C398,""-""),1))"),"Bogor")</f>
        <v>Bogor</v>
      </c>
      <c r="H398" s="3" t="str">
        <f>IFERROR(__xludf.DUMMYFUNCTION("TRIM(INDEX(SPLIT(C398,""-""),2))"),"Air Mancur")</f>
        <v>Air Mancur</v>
      </c>
      <c r="I398" s="3" t="str">
        <f>IFERROR(__xludf.DUMMYFUNCTION("IFERROR(
TEXTJOIN(CHAR(10),TRUE,
UNIQUE(
FILTER(
'ALL Data Intertest 22 Jul 26'!F:F,
'ALL Data Intertest 22 Jul 26'!B:B=B398,
'ALL Data Intertest 22 Jul 26'!C:C=H398
)
)
),
"""")"),"")</f>
        <v/>
      </c>
      <c r="J398" s="7">
        <v>-6.582089799999999</v>
      </c>
      <c r="K398" s="7">
        <v>106.7969705</v>
      </c>
    </row>
    <row r="399">
      <c r="A399" s="3">
        <f t="shared" si="1"/>
        <v>398</v>
      </c>
      <c r="B399" s="4" t="s">
        <v>777</v>
      </c>
      <c r="C399" s="8" t="s">
        <v>201</v>
      </c>
      <c r="D399" s="6" t="s">
        <v>824</v>
      </c>
      <c r="E399" s="3"/>
      <c r="F399" s="3" t="str">
        <f>IFERROR(__xludf.DUMMYFUNCTION("SWITCH(
  TRUE,
  REGEXMATCH(B399,""Brain Academy""),""BAC"",
  REGEXMATCH(B399,""English Academy""),""EAC"",
  """"
)&amp;"" ""&amp;IFERROR(TRIM(INDEX(SPLIT(C399,""-""),2)),C399)"),"EAC Kota Wisata")</f>
        <v>EAC Kota Wisata</v>
      </c>
      <c r="G399" s="3" t="str">
        <f>IFERROR(__xludf.DUMMYFUNCTION("TRIM(INDEX(SPLIT(C399,""-""),1))"),"Bogor")</f>
        <v>Bogor</v>
      </c>
      <c r="H399" s="3" t="str">
        <f>IFERROR(__xludf.DUMMYFUNCTION("TRIM(INDEX(SPLIT(C399,""-""),2))"),"Kota Wisata")</f>
        <v>Kota Wisata</v>
      </c>
      <c r="I399" s="3" t="str">
        <f>IFERROR(__xludf.DUMMYFUNCTION("IFERROR(
TEXTJOIN(CHAR(10),TRUE,
UNIQUE(
FILTER(
'ALL Data Intertest 22 Jul 26'!F:F,
'ALL Data Intertest 22 Jul 26'!B:B=B399,
'ALL Data Intertest 22 Jul 26'!C:C=H399
)
)
),
"""")"),"")</f>
        <v/>
      </c>
      <c r="J399" s="7">
        <v>-6.351954099999999</v>
      </c>
      <c r="K399" s="7">
        <v>106.9642907</v>
      </c>
    </row>
    <row r="400">
      <c r="A400" s="3">
        <f t="shared" si="1"/>
        <v>399</v>
      </c>
      <c r="B400" s="4" t="s">
        <v>777</v>
      </c>
      <c r="C400" s="8" t="s">
        <v>210</v>
      </c>
      <c r="D400" s="6" t="s">
        <v>825</v>
      </c>
      <c r="E400" s="3"/>
      <c r="F400" s="3" t="str">
        <f>IFERROR(__xludf.DUMMYFUNCTION("SWITCH(
  TRUE,
  REGEXMATCH(B400,""Brain Academy""),""BAC"",
  REGEXMATCH(B400,""English Academy""),""EAC"",
  """"
)&amp;"" ""&amp;IFERROR(TRIM(INDEX(SPLIT(C400,""-""),2)),C400)"),"EAC Metland Cileungsi")</f>
        <v>EAC Metland Cileungsi</v>
      </c>
      <c r="G400" s="3" t="str">
        <f>IFERROR(__xludf.DUMMYFUNCTION("TRIM(INDEX(SPLIT(C400,""-""),1))"),"Bogor")</f>
        <v>Bogor</v>
      </c>
      <c r="H400" s="3" t="str">
        <f>IFERROR(__xludf.DUMMYFUNCTION("TRIM(INDEX(SPLIT(C400,""-""),2))"),"Metland Cileungsi")</f>
        <v>Metland Cileungsi</v>
      </c>
      <c r="I400" s="3" t="str">
        <f>IFERROR(__xludf.DUMMYFUNCTION("IFERROR(
TEXTJOIN(CHAR(10),TRUE,
UNIQUE(
FILTER(
'ALL Data Intertest 22 Jul 26'!F:F,
'ALL Data Intertest 22 Jul 26'!B:B=B400,
'ALL Data Intertest 22 Jul 26'!C:C=H400
)
)
),
"""")"),"")</f>
        <v/>
      </c>
      <c r="J400" s="7">
        <v>-6.3978656</v>
      </c>
      <c r="K400" s="7">
        <v>106.9726627</v>
      </c>
    </row>
    <row r="401">
      <c r="A401" s="3">
        <f t="shared" si="1"/>
        <v>400</v>
      </c>
      <c r="B401" s="4" t="s">
        <v>777</v>
      </c>
      <c r="C401" s="8" t="s">
        <v>574</v>
      </c>
      <c r="D401" s="6" t="s">
        <v>826</v>
      </c>
      <c r="E401" s="3"/>
      <c r="F401" s="3" t="str">
        <f>IFERROR(__xludf.DUMMYFUNCTION("SWITCH(
  TRUE,
  REGEXMATCH(B401,""Brain Academy""),""BAC"",
  REGEXMATCH(B401,""English Academy""),""EAC"",
  """"
)&amp;"" ""&amp;IFERROR(TRIM(INDEX(SPLIT(C401,""-""),2)),C401)"),"EAC Diponegoro")</f>
        <v>EAC Diponegoro</v>
      </c>
      <c r="G401" s="3" t="str">
        <f>IFERROR(__xludf.DUMMYFUNCTION("TRIM(INDEX(SPLIT(C401,""-""),1))"),"Bondowoso")</f>
        <v>Bondowoso</v>
      </c>
      <c r="H401" s="3" t="str">
        <f>IFERROR(__xludf.DUMMYFUNCTION("TRIM(INDEX(SPLIT(C401,""-""),2))"),"Diponegoro")</f>
        <v>Diponegoro</v>
      </c>
      <c r="I401" s="3" t="str">
        <f>IFERROR(__xludf.DUMMYFUNCTION("IFERROR(
TEXTJOIN(CHAR(10),TRUE,
UNIQUE(
FILTER(
'ALL Data Intertest 22 Jul 26'!F:F,
'ALL Data Intertest 22 Jul 26'!B:B=B401,
'ALL Data Intertest 22 Jul 26'!C:C=H401
)
)
),
"""")"),"")</f>
        <v/>
      </c>
      <c r="J401" s="7">
        <v>-7.9085334</v>
      </c>
      <c r="K401" s="7">
        <v>113.8145245</v>
      </c>
    </row>
    <row r="402">
      <c r="A402" s="3">
        <f t="shared" si="1"/>
        <v>401</v>
      </c>
      <c r="B402" s="4" t="s">
        <v>777</v>
      </c>
      <c r="C402" s="8" t="s">
        <v>274</v>
      </c>
      <c r="D402" s="6" t="s">
        <v>827</v>
      </c>
      <c r="E402" s="3"/>
      <c r="F402" s="3" t="str">
        <f>IFERROR(__xludf.DUMMYFUNCTION("SWITCH(
  TRUE,
  REGEXMATCH(B402,""Brain Academy""),""BAC"",
  REGEXMATCH(B402,""English Academy""),""EAC"",
  """"
)&amp;"" ""&amp;IFERROR(TRIM(INDEX(SPLIT(C402,""-""),2)),C402)"),"EAC Ahmad Yani")</f>
        <v>EAC Ahmad Yani</v>
      </c>
      <c r="G402" s="3" t="str">
        <f>IFERROR(__xludf.DUMMYFUNCTION("TRIM(INDEX(SPLIT(C402,""-""),1))"),"Bone")</f>
        <v>Bone</v>
      </c>
      <c r="H402" s="3" t="str">
        <f>IFERROR(__xludf.DUMMYFUNCTION("TRIM(INDEX(SPLIT(C402,""-""),2))"),"Ahmad Yani")</f>
        <v>Ahmad Yani</v>
      </c>
      <c r="I402" s="3" t="str">
        <f>IFERROR(__xludf.DUMMYFUNCTION("IFERROR(
TEXTJOIN(CHAR(10),TRUE,
UNIQUE(
FILTER(
'ALL Data Intertest 22 Jul 26'!F:F,
'ALL Data Intertest 22 Jul 26'!B:B=B402,
'ALL Data Intertest 22 Jul 26'!C:C=H402
)
)
),
"""")"),"")</f>
        <v/>
      </c>
      <c r="J402" s="7">
        <v>-4.5401436</v>
      </c>
      <c r="K402" s="7">
        <v>120.3195158</v>
      </c>
    </row>
    <row r="403">
      <c r="A403" s="3">
        <f t="shared" si="1"/>
        <v>402</v>
      </c>
      <c r="B403" s="4" t="s">
        <v>777</v>
      </c>
      <c r="C403" s="8" t="s">
        <v>290</v>
      </c>
      <c r="D403" s="6" t="s">
        <v>828</v>
      </c>
      <c r="E403" s="3"/>
      <c r="F403" s="3" t="str">
        <f>IFERROR(__xludf.DUMMYFUNCTION("SWITCH(
  TRUE,
  REGEXMATCH(B403,""Brain Academy""),""BAC"",
  REGEXMATCH(B403,""English Academy""),""EAC"",
  """"
)&amp;"" ""&amp;IFERROR(TRIM(INDEX(SPLIT(C403,""-""),2)),C403)"),"EAC Merdeka")</f>
        <v>EAC Merdeka</v>
      </c>
      <c r="G403" s="3" t="str">
        <f>IFERROR(__xludf.DUMMYFUNCTION("TRIM(INDEX(SPLIT(C403,""-""),1))"),"Boyolali")</f>
        <v>Boyolali</v>
      </c>
      <c r="H403" s="3" t="str">
        <f>IFERROR(__xludf.DUMMYFUNCTION("TRIM(INDEX(SPLIT(C403,""-""),2))"),"Merdeka")</f>
        <v>Merdeka</v>
      </c>
      <c r="I403" s="3" t="str">
        <f>IFERROR(__xludf.DUMMYFUNCTION("IFERROR(
TEXTJOIN(CHAR(10),TRUE,
UNIQUE(
FILTER(
'ALL Data Intertest 22 Jul 26'!F:F,
'ALL Data Intertest 22 Jul 26'!B:B=B403,
'ALL Data Intertest 22 Jul 26'!C:C=H403
)
)
),
"""")"),"")</f>
        <v/>
      </c>
      <c r="J403" s="7">
        <v>-7.5447046</v>
      </c>
      <c r="K403" s="7">
        <v>110.6123397</v>
      </c>
    </row>
    <row r="404">
      <c r="A404" s="3">
        <f t="shared" si="1"/>
        <v>403</v>
      </c>
      <c r="B404" s="4" t="s">
        <v>777</v>
      </c>
      <c r="C404" s="8" t="s">
        <v>742</v>
      </c>
      <c r="D404" s="6" t="s">
        <v>829</v>
      </c>
      <c r="E404" s="3"/>
      <c r="F404" s="3" t="str">
        <f>IFERROR(__xludf.DUMMYFUNCTION("SWITCH(
  TRUE,
  REGEXMATCH(B404,""Brain Academy""),""BAC"",
  REGEXMATCH(B404,""English Academy""),""EAC"",
  """"
)&amp;"" ""&amp;IFERROR(TRIM(INDEX(SPLIT(C404,""-""),2)),C404)"),"EAC Sultan Agung")</f>
        <v>EAC Sultan Agung</v>
      </c>
      <c r="G404" s="3" t="str">
        <f>IFERROR(__xludf.DUMMYFUNCTION("TRIM(INDEX(SPLIT(C404,""-""),1))"),"Brebes")</f>
        <v>Brebes</v>
      </c>
      <c r="H404" s="3" t="str">
        <f>IFERROR(__xludf.DUMMYFUNCTION("TRIM(INDEX(SPLIT(C404,""-""),2))"),"Sultan Agung")</f>
        <v>Sultan Agung</v>
      </c>
      <c r="I404" s="3" t="str">
        <f>IFERROR(__xludf.DUMMYFUNCTION("IFERROR(
TEXTJOIN(CHAR(10),TRUE,
UNIQUE(
FILTER(
'ALL Data Intertest 22 Jul 26'!F:F,
'ALL Data Intertest 22 Jul 26'!B:B=B404,
'ALL Data Intertest 22 Jul 26'!C:C=H404
)
)
),
"""")"),"")</f>
        <v/>
      </c>
      <c r="J404" s="7">
        <v>-6.8738153</v>
      </c>
      <c r="K404" s="7">
        <v>109.040079</v>
      </c>
    </row>
    <row r="405">
      <c r="A405" s="3">
        <f t="shared" si="1"/>
        <v>404</v>
      </c>
      <c r="B405" s="4" t="s">
        <v>777</v>
      </c>
      <c r="C405" s="8" t="s">
        <v>90</v>
      </c>
      <c r="D405" s="6" t="s">
        <v>830</v>
      </c>
      <c r="E405" s="3"/>
      <c r="F405" s="3" t="str">
        <f>IFERROR(__xludf.DUMMYFUNCTION("SWITCH(
  TRUE,
  REGEXMATCH(B405,""Brain Academy""),""BAC"",
  REGEXMATCH(B405,""English Academy""),""EAC"",
  """"
)&amp;"" ""&amp;IFERROR(TRIM(INDEX(SPLIT(C405,""-""),2)),C405)"),"EAC Jambu Air")</f>
        <v>EAC Jambu Air</v>
      </c>
      <c r="G405" s="3" t="str">
        <f>IFERROR(__xludf.DUMMYFUNCTION("TRIM(INDEX(SPLIT(C405,""-""),1))"),"Bukittinggi")</f>
        <v>Bukittinggi</v>
      </c>
      <c r="H405" s="3" t="str">
        <f>IFERROR(__xludf.DUMMYFUNCTION("TRIM(INDEX(SPLIT(C405,""-""),2))"),"Jambu Air")</f>
        <v>Jambu Air</v>
      </c>
      <c r="I405" s="3" t="str">
        <f>IFERROR(__xludf.DUMMYFUNCTION("IFERROR(
TEXTJOIN(CHAR(10),TRUE,
UNIQUE(
FILTER(
'ALL Data Intertest 22 Jul 26'!F:F,
'ALL Data Intertest 22 Jul 26'!B:B=B405,
'ALL Data Intertest 22 Jul 26'!C:C=H405
)
)
),
"""")"),"")</f>
        <v/>
      </c>
      <c r="J405" s="7">
        <v>-0.3268717</v>
      </c>
      <c r="K405" s="7">
        <v>100.3801758</v>
      </c>
    </row>
    <row r="406">
      <c r="A406" s="3">
        <f t="shared" si="1"/>
        <v>405</v>
      </c>
      <c r="B406" s="4" t="s">
        <v>777</v>
      </c>
      <c r="C406" s="8" t="s">
        <v>650</v>
      </c>
      <c r="D406" s="6" t="s">
        <v>831</v>
      </c>
      <c r="E406" s="3"/>
      <c r="F406" s="3" t="str">
        <f>IFERROR(__xludf.DUMMYFUNCTION("SWITCH(
  TRUE,
  REGEXMATCH(B406,""Brain Academy""),""BAC"",
  REGEXMATCH(B406,""English Academy""),""EAC"",
  """"
)&amp;"" ""&amp;IFERROR(TRIM(INDEX(SPLIT(C406,""-""),2)),C406)"),"EAC Jend. Sudirman")</f>
        <v>EAC Jend. Sudirman</v>
      </c>
      <c r="G406" s="3" t="str">
        <f>IFERROR(__xludf.DUMMYFUNCTION("TRIM(INDEX(SPLIT(C406,""-""),1))"),"Bulukumba")</f>
        <v>Bulukumba</v>
      </c>
      <c r="H406" s="3" t="str">
        <f>IFERROR(__xludf.DUMMYFUNCTION("TRIM(INDEX(SPLIT(C406,""-""),2))"),"Jend. Sudirman")</f>
        <v>Jend. Sudirman</v>
      </c>
      <c r="I406" s="3" t="str">
        <f>IFERROR(__xludf.DUMMYFUNCTION("IFERROR(
TEXTJOIN(CHAR(10),TRUE,
UNIQUE(
FILTER(
'ALL Data Intertest 22 Jul 26'!F:F,
'ALL Data Intertest 22 Jul 26'!B:B=B406,
'ALL Data Intertest 22 Jul 26'!C:C=H406
)
)
),
"""")"),"")</f>
        <v/>
      </c>
      <c r="J406" s="7">
        <v>-5.5552326</v>
      </c>
      <c r="K406" s="7">
        <v>120.1967462</v>
      </c>
    </row>
    <row r="407">
      <c r="A407" s="3">
        <f t="shared" si="1"/>
        <v>406</v>
      </c>
      <c r="B407" s="4" t="s">
        <v>777</v>
      </c>
      <c r="C407" s="8" t="s">
        <v>492</v>
      </c>
      <c r="D407" s="6" t="s">
        <v>493</v>
      </c>
      <c r="E407" s="3"/>
      <c r="F407" s="3" t="str">
        <f>IFERROR(__xludf.DUMMYFUNCTION("SWITCH(
  TRUE,
  REGEXMATCH(B407,""Brain Academy""),""BAC"",
  REGEXMATCH(B407,""English Academy""),""EAC"",
  """"
)&amp;"" ""&amp;IFERROR(TRIM(INDEX(SPLIT(C407,""-""),2)),C407)"),"EAC Samuji")</f>
        <v>EAC Samuji</v>
      </c>
      <c r="G407" s="3" t="str">
        <f>IFERROR(__xludf.DUMMYFUNCTION("TRIM(INDEX(SPLIT(C407,""-""),1))"),"Ciamis")</f>
        <v>Ciamis</v>
      </c>
      <c r="H407" s="3" t="str">
        <f>IFERROR(__xludf.DUMMYFUNCTION("TRIM(INDEX(SPLIT(C407,""-""),2))"),"Samuji")</f>
        <v>Samuji</v>
      </c>
      <c r="I407" s="3" t="str">
        <f>IFERROR(__xludf.DUMMYFUNCTION("IFERROR(
TEXTJOIN(CHAR(10),TRUE,
UNIQUE(
FILTER(
'ALL Data Intertest 22 Jul 26'!F:F,
'ALL Data Intertest 22 Jul 26'!B:B=B407,
'ALL Data Intertest 22 Jul 26'!C:C=H407
)
)
),
"""")"),"")</f>
        <v/>
      </c>
      <c r="J407" s="7">
        <v>-7.329422800000001</v>
      </c>
      <c r="K407" s="7">
        <v>108.3592555</v>
      </c>
    </row>
    <row r="408">
      <c r="A408" s="3">
        <f t="shared" si="1"/>
        <v>407</v>
      </c>
      <c r="B408" s="4" t="s">
        <v>777</v>
      </c>
      <c r="C408" s="8" t="s">
        <v>832</v>
      </c>
      <c r="D408" s="6" t="s">
        <v>833</v>
      </c>
      <c r="E408" s="3"/>
      <c r="F408" s="3" t="str">
        <f>IFERROR(__xludf.DUMMYFUNCTION("SWITCH(
  TRUE,
  REGEXMATCH(B408,""Brain Academy""),""BAC"",
  REGEXMATCH(B408,""English Academy""),""EAC"",
  """"
)&amp;"" ""&amp;IFERROR(TRIM(INDEX(SPLIT(C408,""-""),2)),C408)"),"EAC Tegar Beriman")</f>
        <v>EAC Tegar Beriman</v>
      </c>
      <c r="G408" s="3" t="str">
        <f>IFERROR(__xludf.DUMMYFUNCTION("TRIM(INDEX(SPLIT(C408,""-""),1))"),"Cibinong")</f>
        <v>Cibinong</v>
      </c>
      <c r="H408" s="3" t="str">
        <f>IFERROR(__xludf.DUMMYFUNCTION("TRIM(INDEX(SPLIT(C408,""-""),2))"),"Tegar Beriman")</f>
        <v>Tegar Beriman</v>
      </c>
      <c r="I408" s="3" t="str">
        <f>IFERROR(__xludf.DUMMYFUNCTION("IFERROR(
TEXTJOIN(CHAR(10),TRUE,
UNIQUE(
FILTER(
'ALL Data Intertest 22 Jul 26'!F:F,
'ALL Data Intertest 22 Jul 26'!B:B=B408,
'ALL Data Intertest 22 Jul 26'!C:C=H408
)
)
),
"""")"),"")</f>
        <v/>
      </c>
      <c r="J408" s="7">
        <v>-6.4855269</v>
      </c>
      <c r="K408" s="7">
        <v>106.8400614</v>
      </c>
    </row>
    <row r="409">
      <c r="A409" s="3">
        <f t="shared" si="1"/>
        <v>408</v>
      </c>
      <c r="B409" s="4" t="s">
        <v>777</v>
      </c>
      <c r="C409" s="8" t="s">
        <v>437</v>
      </c>
      <c r="D409" s="6" t="s">
        <v>834</v>
      </c>
      <c r="E409" s="3"/>
      <c r="F409" s="3" t="str">
        <f>IFERROR(__xludf.DUMMYFUNCTION("SWITCH(
  TRUE,
  REGEXMATCH(B409,""Brain Academy""),""BAC"",
  REGEXMATCH(B409,""English Academy""),""EAC"",
  """"
)&amp;"" ""&amp;IFERROR(TRIM(INDEX(SPLIT(C409,""-""),2)),C409)"),"EAC Cifest")</f>
        <v>EAC Cifest</v>
      </c>
      <c r="G409" s="3" t="str">
        <f>IFERROR(__xludf.DUMMYFUNCTION("TRIM(INDEX(SPLIT(C409,""-""),1))"),"Cikarang")</f>
        <v>Cikarang</v>
      </c>
      <c r="H409" s="3" t="str">
        <f>IFERROR(__xludf.DUMMYFUNCTION("TRIM(INDEX(SPLIT(C409,""-""),2))"),"Cifest")</f>
        <v>Cifest</v>
      </c>
      <c r="I409" s="3" t="str">
        <f>IFERROR(__xludf.DUMMYFUNCTION("IFERROR(
TEXTJOIN(CHAR(10),TRUE,
UNIQUE(
FILTER(
'ALL Data Intertest 22 Jul 26'!F:F,
'ALL Data Intertest 22 Jul 26'!B:B=B409,
'ALL Data Intertest 22 Jul 26'!C:C=H409
)
)
),
"""")"),"")</f>
        <v/>
      </c>
      <c r="J409" s="7">
        <v>-6.3401255</v>
      </c>
      <c r="K409" s="7">
        <v>107.1198653</v>
      </c>
    </row>
    <row r="410">
      <c r="A410" s="3">
        <f t="shared" si="1"/>
        <v>409</v>
      </c>
      <c r="B410" s="4" t="s">
        <v>777</v>
      </c>
      <c r="C410" s="8" t="s">
        <v>450</v>
      </c>
      <c r="D410" s="6" t="s">
        <v>835</v>
      </c>
      <c r="E410" s="3"/>
      <c r="F410" s="3" t="str">
        <f>IFERROR(__xludf.DUMMYFUNCTION("SWITCH(
  TRUE,
  REGEXMATCH(B410,""Brain Academy""),""BAC"",
  REGEXMATCH(B410,""English Academy""),""EAC"",
  """"
)&amp;"" ""&amp;IFERROR(TRIM(INDEX(SPLIT(C410,""-""),2)),C410)"),"EAC S. Parman")</f>
        <v>EAC S. Parman</v>
      </c>
      <c r="G410" s="3" t="str">
        <f>IFERROR(__xludf.DUMMYFUNCTION("TRIM(INDEX(SPLIT(C410,""-""),1))"),"Cilacap")</f>
        <v>Cilacap</v>
      </c>
      <c r="H410" s="3" t="str">
        <f>IFERROR(__xludf.DUMMYFUNCTION("TRIM(INDEX(SPLIT(C410,""-""),2))"),"S. Parman")</f>
        <v>S. Parman</v>
      </c>
      <c r="I410" s="3" t="str">
        <f>IFERROR(__xludf.DUMMYFUNCTION("IFERROR(
TEXTJOIN(CHAR(10),TRUE,
UNIQUE(
FILTER(
'ALL Data Intertest 22 Jul 26'!F:F,
'ALL Data Intertest 22 Jul 26'!B:B=B410,
'ALL Data Intertest 22 Jul 26'!C:C=H410
)
)
),
"""")"),"")</f>
        <v/>
      </c>
      <c r="J410" s="7">
        <v>-7.726704299999999</v>
      </c>
      <c r="K410" s="7">
        <v>109.0135097</v>
      </c>
    </row>
    <row r="411">
      <c r="A411" s="3">
        <f t="shared" si="1"/>
        <v>410</v>
      </c>
      <c r="B411" s="4" t="s">
        <v>777</v>
      </c>
      <c r="C411" s="8" t="s">
        <v>562</v>
      </c>
      <c r="D411" s="6" t="s">
        <v>836</v>
      </c>
      <c r="E411" s="3"/>
      <c r="F411" s="3" t="str">
        <f>IFERROR(__xludf.DUMMYFUNCTION("SWITCH(
  TRUE,
  REGEXMATCH(B411,""Brain Academy""),""BAC"",
  REGEXMATCH(B411,""English Academy""),""EAC"",
  """"
)&amp;"" ""&amp;IFERROR(TRIM(INDEX(SPLIT(C411,""-""),2)),C411)"),"EAC PCI")</f>
        <v>EAC PCI</v>
      </c>
      <c r="G411" s="3" t="str">
        <f>IFERROR(__xludf.DUMMYFUNCTION("TRIM(INDEX(SPLIT(C411,""-""),1))"),"Cilegon")</f>
        <v>Cilegon</v>
      </c>
      <c r="H411" s="3" t="str">
        <f>IFERROR(__xludf.DUMMYFUNCTION("TRIM(INDEX(SPLIT(C411,""-""),2))"),"PCI")</f>
        <v>PCI</v>
      </c>
      <c r="I411" s="3" t="str">
        <f>IFERROR(__xludf.DUMMYFUNCTION("IFERROR(
TEXTJOIN(CHAR(10),TRUE,
UNIQUE(
FILTER(
'ALL Data Intertest 22 Jul 26'!F:F,
'ALL Data Intertest 22 Jul 26'!B:B=B411,
'ALL Data Intertest 22 Jul 26'!C:C=H411
)
)
),
"""")"),"")</f>
        <v/>
      </c>
      <c r="J411" s="7">
        <v>-6.0388156</v>
      </c>
      <c r="K411" s="7">
        <v>106.0746389</v>
      </c>
    </row>
    <row r="412">
      <c r="A412" s="3">
        <f t="shared" si="1"/>
        <v>411</v>
      </c>
      <c r="B412" s="4" t="s">
        <v>777</v>
      </c>
      <c r="C412" s="8" t="s">
        <v>837</v>
      </c>
      <c r="D412" s="6" t="s">
        <v>838</v>
      </c>
      <c r="E412" s="3"/>
      <c r="F412" s="3" t="str">
        <f>IFERROR(__xludf.DUMMYFUNCTION("SWITCH(
  TRUE,
  REGEXMATCH(B412,""Brain Academy""),""BAC"",
  REGEXMATCH(B412,""English Academy""),""EAC"",
  """"
)&amp;"" ""&amp;IFERROR(TRIM(INDEX(SPLIT(C412,""-""),2)),C412)"),"EAC Amir Machmud")</f>
        <v>EAC Amir Machmud</v>
      </c>
      <c r="G412" s="3" t="str">
        <f>IFERROR(__xludf.DUMMYFUNCTION("TRIM(INDEX(SPLIT(C412,""-""),1))"),"Cimahi")</f>
        <v>Cimahi</v>
      </c>
      <c r="H412" s="3" t="str">
        <f>IFERROR(__xludf.DUMMYFUNCTION("TRIM(INDEX(SPLIT(C412,""-""),2))"),"Amir Machmud")</f>
        <v>Amir Machmud</v>
      </c>
      <c r="I412" s="3" t="str">
        <f>IFERROR(__xludf.DUMMYFUNCTION("IFERROR(
TEXTJOIN(CHAR(10),TRUE,
UNIQUE(
FILTER(
'ALL Data Intertest 22 Jul 26'!F:F,
'ALL Data Intertest 22 Jul 26'!B:B=B412,
'ALL Data Intertest 22 Jul 26'!C:C=H412
)
)
),
"""")"),"")</f>
        <v/>
      </c>
      <c r="J412" s="7">
        <v>-6.8752531</v>
      </c>
      <c r="K412" s="7">
        <v>107.545026</v>
      </c>
    </row>
    <row r="413">
      <c r="A413" s="3">
        <f t="shared" si="1"/>
        <v>412</v>
      </c>
      <c r="B413" s="4" t="s">
        <v>777</v>
      </c>
      <c r="C413" s="8" t="s">
        <v>62</v>
      </c>
      <c r="D413" s="6" t="s">
        <v>839</v>
      </c>
      <c r="E413" s="3"/>
      <c r="F413" s="3" t="str">
        <f>IFERROR(__xludf.DUMMYFUNCTION("SWITCH(
  TRUE,
  REGEXMATCH(B413,""Brain Academy""),""BAC"",
  REGEXMATCH(B413,""English Academy""),""EAC"",
  """"
)&amp;"" ""&amp;IFERROR(TRIM(INDEX(SPLIT(C413,""-""),2)),C413)"),"EAC CSB Mall")</f>
        <v>EAC CSB Mall</v>
      </c>
      <c r="G413" s="3" t="str">
        <f>IFERROR(__xludf.DUMMYFUNCTION("TRIM(INDEX(SPLIT(C413,""-""),1))"),"Cirebon")</f>
        <v>Cirebon</v>
      </c>
      <c r="H413" s="3" t="str">
        <f>IFERROR(__xludf.DUMMYFUNCTION("TRIM(INDEX(SPLIT(C413,""-""),2))"),"CSB Mall")</f>
        <v>CSB Mall</v>
      </c>
      <c r="I413" s="3" t="str">
        <f>IFERROR(__xludf.DUMMYFUNCTION("IFERROR(
TEXTJOIN(CHAR(10),TRUE,
UNIQUE(
FILTER(
'ALL Data Intertest 22 Jul 26'!F:F,
'ALL Data Intertest 22 Jul 26'!B:B=B413,
'ALL Data Intertest 22 Jul 26'!C:C=H413
)
)
),
"""")"),"")</f>
        <v/>
      </c>
      <c r="J413" s="7">
        <v>-6.7182514</v>
      </c>
      <c r="K413" s="7">
        <v>108.5499088</v>
      </c>
    </row>
    <row r="414">
      <c r="A414" s="3">
        <f t="shared" si="1"/>
        <v>413</v>
      </c>
      <c r="B414" s="4" t="s">
        <v>777</v>
      </c>
      <c r="C414" s="8" t="s">
        <v>48</v>
      </c>
      <c r="D414" s="6" t="s">
        <v>840</v>
      </c>
      <c r="E414" s="3"/>
      <c r="F414" s="3" t="str">
        <f>IFERROR(__xludf.DUMMYFUNCTION("SWITCH(
  TRUE,
  REGEXMATCH(B414,""Brain Academy""),""BAC"",
  REGEXMATCH(B414,""English Academy""),""EAC"",
  """"
)&amp;"" ""&amp;IFERROR(TRIM(INDEX(SPLIT(C414,""-""),2)),C414)"),"EAC Mahendradatta")</f>
        <v>EAC Mahendradatta</v>
      </c>
      <c r="G414" s="3" t="str">
        <f>IFERROR(__xludf.DUMMYFUNCTION("TRIM(INDEX(SPLIT(C414,""-""),1))"),"Denpasar")</f>
        <v>Denpasar</v>
      </c>
      <c r="H414" s="3" t="str">
        <f>IFERROR(__xludf.DUMMYFUNCTION("TRIM(INDEX(SPLIT(C414,""-""),2))"),"Mahendradatta")</f>
        <v>Mahendradatta</v>
      </c>
      <c r="I414" s="3" t="str">
        <f>IFERROR(__xludf.DUMMYFUNCTION("IFERROR(
TEXTJOIN(CHAR(10),TRUE,
UNIQUE(
FILTER(
'ALL Data Intertest 22 Jul 26'!F:F,
'ALL Data Intertest 22 Jul 26'!B:B=B414,
'ALL Data Intertest 22 Jul 26'!C:C=H414
)
)
),
"""")"),"")</f>
        <v/>
      </c>
      <c r="J414" s="7">
        <v>-8.6689811</v>
      </c>
      <c r="K414" s="7">
        <v>115.1905848</v>
      </c>
    </row>
    <row r="415">
      <c r="A415" s="3">
        <f t="shared" si="1"/>
        <v>414</v>
      </c>
      <c r="B415" s="4" t="s">
        <v>777</v>
      </c>
      <c r="C415" s="8" t="s">
        <v>841</v>
      </c>
      <c r="D415" s="6" t="s">
        <v>842</v>
      </c>
      <c r="E415" s="3"/>
      <c r="F415" s="3" t="str">
        <f>IFERROR(__xludf.DUMMYFUNCTION("SWITCH(
  TRUE,
  REGEXMATCH(B415,""Brain Academy""),""BAC"",
  REGEXMATCH(B415,""English Academy""),""EAC"",
  """"
)&amp;"" ""&amp;IFERROR(TRIM(INDEX(SPLIT(C415,""-""),2)),C415)"),"EAC Renon")</f>
        <v>EAC Renon</v>
      </c>
      <c r="G415" s="3" t="str">
        <f>IFERROR(__xludf.DUMMYFUNCTION("TRIM(INDEX(SPLIT(C415,""-""),1))"),"Denpasar")</f>
        <v>Denpasar</v>
      </c>
      <c r="H415" s="3" t="str">
        <f>IFERROR(__xludf.DUMMYFUNCTION("TRIM(INDEX(SPLIT(C415,""-""),2))"),"Renon")</f>
        <v>Renon</v>
      </c>
      <c r="I415" s="3" t="str">
        <f>IFERROR(__xludf.DUMMYFUNCTION("IFERROR(
TEXTJOIN(CHAR(10),TRUE,
UNIQUE(
FILTER(
'ALL Data Intertest 22 Jul 26'!F:F,
'ALL Data Intertest 22 Jul 26'!B:B=B415,
'ALL Data Intertest 22 Jul 26'!C:C=H415
)
)
),
"""")"),"")</f>
        <v/>
      </c>
      <c r="J415" s="7">
        <v>-8.672787099999999</v>
      </c>
      <c r="K415" s="7">
        <v>115.2231561</v>
      </c>
    </row>
    <row r="416">
      <c r="A416" s="3">
        <f t="shared" si="1"/>
        <v>415</v>
      </c>
      <c r="B416" s="4" t="s">
        <v>777</v>
      </c>
      <c r="C416" s="8" t="s">
        <v>281</v>
      </c>
      <c r="D416" s="6" t="s">
        <v>843</v>
      </c>
      <c r="E416" s="3"/>
      <c r="F416" s="3" t="str">
        <f>IFERROR(__xludf.DUMMYFUNCTION("SWITCH(
  TRUE,
  REGEXMATCH(B416,""Brain Academy""),""BAC"",
  REGEXMATCH(B416,""English Academy""),""EAC"",
  """"
)&amp;"" ""&amp;IFERROR(TRIM(INDEX(SPLIT(C416,""-""),2)),C416)"),"EAC Cinere")</f>
        <v>EAC Cinere</v>
      </c>
      <c r="G416" s="3" t="str">
        <f>IFERROR(__xludf.DUMMYFUNCTION("TRIM(INDEX(SPLIT(C416,""-""),1))"),"Depok")</f>
        <v>Depok</v>
      </c>
      <c r="H416" s="3" t="str">
        <f>IFERROR(__xludf.DUMMYFUNCTION("TRIM(INDEX(SPLIT(C416,""-""),2))"),"Cinere")</f>
        <v>Cinere</v>
      </c>
      <c r="I416" s="3" t="str">
        <f>IFERROR(__xludf.DUMMYFUNCTION("IFERROR(
TEXTJOIN(CHAR(10),TRUE,
UNIQUE(
FILTER(
'ALL Data Intertest 22 Jul 26'!F:F,
'ALL Data Intertest 22 Jul 26'!B:B=B416,
'ALL Data Intertest 22 Jul 26'!C:C=H416
)
)
),
"""")"),"")</f>
        <v/>
      </c>
      <c r="J416" s="7">
        <v>-6.3362217</v>
      </c>
      <c r="K416" s="7">
        <v>106.7818165</v>
      </c>
    </row>
    <row r="417">
      <c r="A417" s="3">
        <f t="shared" si="1"/>
        <v>416</v>
      </c>
      <c r="B417" s="4" t="s">
        <v>777</v>
      </c>
      <c r="C417" s="8" t="s">
        <v>844</v>
      </c>
      <c r="D417" s="6" t="s">
        <v>845</v>
      </c>
      <c r="E417" s="3"/>
      <c r="F417" s="3" t="str">
        <f>IFERROR(__xludf.DUMMYFUNCTION("SWITCH(
  TRUE,
  REGEXMATCH(B417,""Brain Academy""),""BAC"",
  REGEXMATCH(B417,""English Academy""),""EAC"",
  """"
)&amp;"" ""&amp;IFERROR(TRIM(INDEX(SPLIT(C417,""-""),2)),C417)"),"EAC Margonda")</f>
        <v>EAC Margonda</v>
      </c>
      <c r="G417" s="3" t="str">
        <f>IFERROR(__xludf.DUMMYFUNCTION("TRIM(INDEX(SPLIT(C417,""-""),1))"),"Depok")</f>
        <v>Depok</v>
      </c>
      <c r="H417" s="3" t="str">
        <f>IFERROR(__xludf.DUMMYFUNCTION("TRIM(INDEX(SPLIT(C417,""-""),2))"),"Margonda")</f>
        <v>Margonda</v>
      </c>
      <c r="I417" s="3" t="str">
        <f>IFERROR(__xludf.DUMMYFUNCTION("IFERROR(
TEXTJOIN(CHAR(10),TRUE,
UNIQUE(
FILTER(
'ALL Data Intertest 22 Jul 26'!F:F,
'ALL Data Intertest 22 Jul 26'!B:B=B417,
'ALL Data Intertest 22 Jul 26'!C:C=H417
)
)
),
"""")"),"")</f>
        <v/>
      </c>
      <c r="J417" s="7">
        <v>-6.374021</v>
      </c>
      <c r="K417" s="7">
        <v>106.8322475</v>
      </c>
    </row>
    <row r="418">
      <c r="A418" s="3">
        <f t="shared" si="1"/>
        <v>417</v>
      </c>
      <c r="B418" s="4" t="s">
        <v>777</v>
      </c>
      <c r="C418" s="8" t="s">
        <v>666</v>
      </c>
      <c r="D418" s="6" t="s">
        <v>846</v>
      </c>
      <c r="E418" s="3"/>
      <c r="F418" s="3" t="str">
        <f>IFERROR(__xludf.DUMMYFUNCTION("SWITCH(
  TRUE,
  REGEXMATCH(B418,""Brain Academy""),""BAC"",
  REGEXMATCH(B418,""English Academy""),""EAC"",
  """"
)&amp;"" ""&amp;IFERROR(TRIM(INDEX(SPLIT(C418,""-""),2)),C418)"),"EAC Sawangan")</f>
        <v>EAC Sawangan</v>
      </c>
      <c r="G418" s="3" t="str">
        <f>IFERROR(__xludf.DUMMYFUNCTION("TRIM(INDEX(SPLIT(C418,""-""),1))"),"Depok")</f>
        <v>Depok</v>
      </c>
      <c r="H418" s="3" t="str">
        <f>IFERROR(__xludf.DUMMYFUNCTION("TRIM(INDEX(SPLIT(C418,""-""),2))"),"Sawangan")</f>
        <v>Sawangan</v>
      </c>
      <c r="I418" s="3" t="str">
        <f>IFERROR(__xludf.DUMMYFUNCTION("IFERROR(
TEXTJOIN(CHAR(10),TRUE,
UNIQUE(
FILTER(
'ALL Data Intertest 22 Jul 26'!F:F,
'ALL Data Intertest 22 Jul 26'!B:B=B418,
'ALL Data Intertest 22 Jul 26'!C:C=H418
)
)
),
"""")"),"")</f>
        <v/>
      </c>
      <c r="J418" s="7">
        <v>-6.400721799999999</v>
      </c>
      <c r="K418" s="7">
        <v>106.7719323</v>
      </c>
    </row>
    <row r="419">
      <c r="A419" s="3">
        <f t="shared" si="1"/>
        <v>418</v>
      </c>
      <c r="B419" s="4" t="s">
        <v>777</v>
      </c>
      <c r="C419" s="8" t="s">
        <v>24</v>
      </c>
      <c r="D419" s="6" t="s">
        <v>847</v>
      </c>
      <c r="E419" s="3"/>
      <c r="F419" s="3" t="str">
        <f>IFERROR(__xludf.DUMMYFUNCTION("SWITCH(
  TRUE,
  REGEXMATCH(B419,""Brain Academy""),""BAC"",
  REGEXMATCH(B419,""English Academy""),""EAC"",
  """"
)&amp;"" ""&amp;IFERROR(TRIM(INDEX(SPLIT(C419,""-""),2)),C419)"),"EAC Sukmajaya")</f>
        <v>EAC Sukmajaya</v>
      </c>
      <c r="G419" s="3" t="str">
        <f>IFERROR(__xludf.DUMMYFUNCTION("TRIM(INDEX(SPLIT(C419,""-""),1))"),"Depok")</f>
        <v>Depok</v>
      </c>
      <c r="H419" s="3" t="str">
        <f>IFERROR(__xludf.DUMMYFUNCTION("TRIM(INDEX(SPLIT(C419,""-""),2))"),"Sukmajaya")</f>
        <v>Sukmajaya</v>
      </c>
      <c r="I419" s="3" t="str">
        <f>IFERROR(__xludf.DUMMYFUNCTION("IFERROR(
TEXTJOIN(CHAR(10),TRUE,
UNIQUE(
FILTER(
'ALL Data Intertest 22 Jul 26'!F:F,
'ALL Data Intertest 22 Jul 26'!B:B=B419,
'ALL Data Intertest 22 Jul 26'!C:C=H419
)
)
),
"""")"),"")</f>
        <v/>
      </c>
      <c r="J419" s="7">
        <v>-6.3920977</v>
      </c>
      <c r="K419" s="7">
        <v>106.8388723</v>
      </c>
    </row>
    <row r="420">
      <c r="A420" s="3">
        <f t="shared" si="1"/>
        <v>419</v>
      </c>
      <c r="B420" s="4" t="s">
        <v>777</v>
      </c>
      <c r="C420" s="8" t="s">
        <v>848</v>
      </c>
      <c r="D420" s="6" t="s">
        <v>849</v>
      </c>
      <c r="E420" s="3"/>
      <c r="F420" s="3" t="str">
        <f>IFERROR(__xludf.DUMMYFUNCTION("SWITCH(
  TRUE,
  REGEXMATCH(B420,""Brain Academy""),""BAC"",
  REGEXMATCH(B420,""English Academy""),""EAC"",
  """"
)&amp;"" ""&amp;IFERROR(TRIM(INDEX(SPLIT(C420,""-""),2)),C420)"),"EAC Jendral Sudirman")</f>
        <v>EAC Jendral Sudirman</v>
      </c>
      <c r="G420" s="3" t="str">
        <f>IFERROR(__xludf.DUMMYFUNCTION("TRIM(INDEX(SPLIT(C420,""-""),1))"),"Dumai")</f>
        <v>Dumai</v>
      </c>
      <c r="H420" s="3" t="str">
        <f>IFERROR(__xludf.DUMMYFUNCTION("TRIM(INDEX(SPLIT(C420,""-""),2))"),"Jendral Sudirman")</f>
        <v>Jendral Sudirman</v>
      </c>
      <c r="I420" s="3" t="str">
        <f>IFERROR(__xludf.DUMMYFUNCTION("IFERROR(
TEXTJOIN(CHAR(10),TRUE,
UNIQUE(
FILTER(
'ALL Data Intertest 22 Jul 26'!F:F,
'ALL Data Intertest 22 Jul 26'!B:B=B420,
'ALL Data Intertest 22 Jul 26'!C:C=H420
)
)
),
"""")"),"")</f>
        <v/>
      </c>
      <c r="J420" s="7">
        <v>1.6737773</v>
      </c>
      <c r="K420" s="7">
        <v>101.4483903</v>
      </c>
    </row>
    <row r="421">
      <c r="A421" s="3">
        <f t="shared" si="1"/>
        <v>420</v>
      </c>
      <c r="B421" s="4" t="s">
        <v>777</v>
      </c>
      <c r="C421" s="8" t="s">
        <v>502</v>
      </c>
      <c r="D421" s="6" t="s">
        <v>850</v>
      </c>
      <c r="E421" s="3"/>
      <c r="F421" s="3" t="str">
        <f>IFERROR(__xludf.DUMMYFUNCTION("SWITCH(
  TRUE,
  REGEXMATCH(B421,""Brain Academy""),""BAC"",
  REGEXMATCH(B421,""English Academy""),""EAC"",
  """"
)&amp;"" ""&amp;IFERROR(TRIM(INDEX(SPLIT(C421,""-""),2)),C421)"),"EAC Hangtuah")</f>
        <v>EAC Hangtuah</v>
      </c>
      <c r="G421" s="3" t="str">
        <f>IFERROR(__xludf.DUMMYFUNCTION("TRIM(INDEX(SPLIT(C421,""-""),1))"),"Duri")</f>
        <v>Duri</v>
      </c>
      <c r="H421" s="3" t="str">
        <f>IFERROR(__xludf.DUMMYFUNCTION("TRIM(INDEX(SPLIT(C421,""-""),2))"),"Hangtuah")</f>
        <v>Hangtuah</v>
      </c>
      <c r="I421" s="3" t="str">
        <f>IFERROR(__xludf.DUMMYFUNCTION("IFERROR(
TEXTJOIN(CHAR(10),TRUE,
UNIQUE(
FILTER(
'ALL Data Intertest 22 Jul 26'!F:F,
'ALL Data Intertest 22 Jul 26'!B:B=B421,
'ALL Data Intertest 22 Jul 26'!C:C=H421
)
)
),
"""")"),"")</f>
        <v/>
      </c>
      <c r="J421" s="7">
        <v>1.2698495</v>
      </c>
      <c r="K421" s="7">
        <v>101.1839137</v>
      </c>
    </row>
    <row r="422">
      <c r="A422" s="3">
        <f t="shared" si="1"/>
        <v>421</v>
      </c>
      <c r="B422" s="4" t="s">
        <v>777</v>
      </c>
      <c r="C422" s="8" t="s">
        <v>566</v>
      </c>
      <c r="D422" s="6" t="s">
        <v>851</v>
      </c>
      <c r="E422" s="3"/>
      <c r="F422" s="3" t="str">
        <f>IFERROR(__xludf.DUMMYFUNCTION("SWITCH(
  TRUE,
  REGEXMATCH(B422,""Brain Academy""),""BAC"",
  REGEXMATCH(B422,""English Academy""),""EAC"",
  """"
)&amp;"" ""&amp;IFERROR(TRIM(INDEX(SPLIT(C422,""-""),2)),C422)"),"EAC Perintis")</f>
        <v>EAC Perintis</v>
      </c>
      <c r="G422" s="3" t="str">
        <f>IFERROR(__xludf.DUMMYFUNCTION("TRIM(INDEX(SPLIT(C422,""-""),1))"),"Garut")</f>
        <v>Garut</v>
      </c>
      <c r="H422" s="3" t="str">
        <f>IFERROR(__xludf.DUMMYFUNCTION("TRIM(INDEX(SPLIT(C422,""-""),2))"),"Perintis")</f>
        <v>Perintis</v>
      </c>
      <c r="I422" s="3" t="str">
        <f>IFERROR(__xludf.DUMMYFUNCTION("IFERROR(
TEXTJOIN(CHAR(10),TRUE,
UNIQUE(
FILTER(
'ALL Data Intertest 22 Jul 26'!F:F,
'ALL Data Intertest 22 Jul 26'!B:B=B422,
'ALL Data Intertest 22 Jul 26'!C:C=H422
)
)
),
"""")"),"")</f>
        <v/>
      </c>
      <c r="J422" s="7">
        <v>-7.209150600000001</v>
      </c>
      <c r="K422" s="7">
        <v>107.9020165</v>
      </c>
    </row>
    <row r="423">
      <c r="A423" s="3">
        <f t="shared" si="1"/>
        <v>422</v>
      </c>
      <c r="B423" s="4" t="s">
        <v>777</v>
      </c>
      <c r="C423" s="8" t="s">
        <v>233</v>
      </c>
      <c r="D423" s="6" t="s">
        <v>852</v>
      </c>
      <c r="E423" s="3"/>
      <c r="F423" s="3" t="str">
        <f>IFERROR(__xludf.DUMMYFUNCTION("SWITCH(
  TRUE,
  REGEXMATCH(B423,""Brain Academy""),""BAC"",
  REGEXMATCH(B423,""English Academy""),""EAC"",
  """"
)&amp;"" ""&amp;IFERROR(TRIM(INDEX(SPLIT(C423,""-""),2)),C423)"),"EAC Dharma giri")</f>
        <v>EAC Dharma giri</v>
      </c>
      <c r="G423" s="3" t="str">
        <f>IFERROR(__xludf.DUMMYFUNCTION("TRIM(INDEX(SPLIT(C423,""-""),1))"),"Gianyar")</f>
        <v>Gianyar</v>
      </c>
      <c r="H423" s="3" t="str">
        <f>IFERROR(__xludf.DUMMYFUNCTION("TRIM(INDEX(SPLIT(C423,""-""),2))"),"Dharma giri")</f>
        <v>Dharma giri</v>
      </c>
      <c r="I423" s="3" t="str">
        <f>IFERROR(__xludf.DUMMYFUNCTION("IFERROR(
TEXTJOIN(CHAR(10),TRUE,
UNIQUE(
FILTER(
'ALL Data Intertest 22 Jul 26'!F:F,
'ALL Data Intertest 22 Jul 26'!B:B=B423,
'ALL Data Intertest 22 Jul 26'!C:C=H423
)
)
),
"""")"),"")</f>
        <v/>
      </c>
      <c r="J423" s="7">
        <v>-8.544048</v>
      </c>
      <c r="K423" s="7">
        <v>115.3143665</v>
      </c>
    </row>
    <row r="424">
      <c r="A424" s="3">
        <f t="shared" si="1"/>
        <v>423</v>
      </c>
      <c r="B424" s="4" t="s">
        <v>777</v>
      </c>
      <c r="C424" s="8" t="s">
        <v>722</v>
      </c>
      <c r="D424" s="6" t="s">
        <v>853</v>
      </c>
      <c r="E424" s="3"/>
      <c r="F424" s="3" t="str">
        <f>IFERROR(__xludf.DUMMYFUNCTION("SWITCH(
  TRUE,
  REGEXMATCH(B424,""Brain Academy""),""BAC"",
  REGEXMATCH(B424,""English Academy""),""EAC"",
  """"
)&amp;"" ""&amp;IFERROR(TRIM(INDEX(SPLIT(C424,""-""),2)),C424)"),"EAC Puring")</f>
        <v>EAC Puring</v>
      </c>
      <c r="G424" s="3" t="str">
        <f>IFERROR(__xludf.DUMMYFUNCTION("TRIM(INDEX(SPLIT(C424,""-""),1))"),"Gombong")</f>
        <v>Gombong</v>
      </c>
      <c r="H424" s="3" t="str">
        <f>IFERROR(__xludf.DUMMYFUNCTION("TRIM(INDEX(SPLIT(C424,""-""),2))"),"Puring")</f>
        <v>Puring</v>
      </c>
      <c r="I424" s="3" t="str">
        <f>IFERROR(__xludf.DUMMYFUNCTION("IFERROR(
TEXTJOIN(CHAR(10),TRUE,
UNIQUE(
FILTER(
'ALL Data Intertest 22 Jul 26'!F:F,
'ALL Data Intertest 22 Jul 26'!B:B=B424,
'ALL Data Intertest 22 Jul 26'!C:C=H424
)
)
),
"""")"),"")</f>
        <v/>
      </c>
      <c r="J424" s="7">
        <v>-7.612876</v>
      </c>
      <c r="K424" s="7">
        <v>109.5094831</v>
      </c>
    </row>
    <row r="425">
      <c r="A425" s="3">
        <f t="shared" si="1"/>
        <v>424</v>
      </c>
      <c r="B425" s="4" t="s">
        <v>777</v>
      </c>
      <c r="C425" s="8" t="s">
        <v>606</v>
      </c>
      <c r="D425" s="6" t="s">
        <v>854</v>
      </c>
      <c r="E425" s="3"/>
      <c r="F425" s="3" t="str">
        <f>IFERROR(__xludf.DUMMYFUNCTION("SWITCH(
  TRUE,
  REGEXMATCH(B425,""Brain Academy""),""BAC"",
  REGEXMATCH(B425,""English Academy""),""EAC"",
  """"
)&amp;"" ""&amp;IFERROR(TRIM(INDEX(SPLIT(C425,""-""),2)),C425)"),"EAC Nani Wartabone")</f>
        <v>EAC Nani Wartabone</v>
      </c>
      <c r="G425" s="3" t="str">
        <f>IFERROR(__xludf.DUMMYFUNCTION("TRIM(INDEX(SPLIT(C425,""-""),1))"),"Gorontalo")</f>
        <v>Gorontalo</v>
      </c>
      <c r="H425" s="3" t="str">
        <f>IFERROR(__xludf.DUMMYFUNCTION("TRIM(INDEX(SPLIT(C425,""-""),2))"),"Nani Wartabone")</f>
        <v>Nani Wartabone</v>
      </c>
      <c r="I425" s="3" t="str">
        <f>IFERROR(__xludf.DUMMYFUNCTION("IFERROR(
TEXTJOIN(CHAR(10),TRUE,
UNIQUE(
FILTER(
'ALL Data Intertest 22 Jul 26'!F:F,
'ALL Data Intertest 22 Jul 26'!B:B=B425,
'ALL Data Intertest 22 Jul 26'!C:C=H425
)
)
),
"""")"),"")</f>
        <v/>
      </c>
      <c r="J425" s="7">
        <v>0.5463783999999999</v>
      </c>
      <c r="K425" s="7">
        <v>123.0619979</v>
      </c>
    </row>
    <row r="426">
      <c r="A426" s="3">
        <f t="shared" si="1"/>
        <v>425</v>
      </c>
      <c r="B426" s="4" t="s">
        <v>777</v>
      </c>
      <c r="C426" s="8" t="s">
        <v>235</v>
      </c>
      <c r="D426" s="6" t="s">
        <v>855</v>
      </c>
      <c r="E426" s="3"/>
      <c r="F426" s="3" t="str">
        <f>IFERROR(__xludf.DUMMYFUNCTION("SWITCH(
  TRUE,
  REGEXMATCH(B426,""Brain Academy""),""BAC"",
  REGEXMATCH(B426,""English Academy""),""EAC"",
  """"
)&amp;"" ""&amp;IFERROR(TRIM(INDEX(SPLIT(C426,""-""),2)),C426)"),"EAC Sungguminasa")</f>
        <v>EAC Sungguminasa</v>
      </c>
      <c r="G426" s="3" t="str">
        <f>IFERROR(__xludf.DUMMYFUNCTION("TRIM(INDEX(SPLIT(C426,""-""),1))"),"Gowa")</f>
        <v>Gowa</v>
      </c>
      <c r="H426" s="3" t="str">
        <f>IFERROR(__xludf.DUMMYFUNCTION("TRIM(INDEX(SPLIT(C426,""-""),2))"),"Sungguminasa")</f>
        <v>Sungguminasa</v>
      </c>
      <c r="I426" s="3" t="str">
        <f>IFERROR(__xludf.DUMMYFUNCTION("IFERROR(
TEXTJOIN(CHAR(10),TRUE,
UNIQUE(
FILTER(
'ALL Data Intertest 22 Jul 26'!F:F,
'ALL Data Intertest 22 Jul 26'!B:B=B426,
'ALL Data Intertest 22 Jul 26'!C:C=H426
)
)
),
"""")"),"")</f>
        <v/>
      </c>
      <c r="J426" s="7">
        <v>-5.1983296</v>
      </c>
      <c r="K426" s="7">
        <v>119.4466486</v>
      </c>
    </row>
    <row r="427">
      <c r="A427" s="3">
        <f t="shared" si="1"/>
        <v>426</v>
      </c>
      <c r="B427" s="4" t="s">
        <v>777</v>
      </c>
      <c r="C427" s="8" t="s">
        <v>221</v>
      </c>
      <c r="D427" s="6" t="s">
        <v>856</v>
      </c>
      <c r="E427" s="3"/>
      <c r="F427" s="3" t="str">
        <f>IFERROR(__xludf.DUMMYFUNCTION("SWITCH(
  TRUE,
  REGEXMATCH(B427,""Brain Academy""),""BAC"",
  REGEXMATCH(B427,""English Academy""),""EAC"",
  """"
)&amp;"" ""&amp;IFERROR(TRIM(INDEX(SPLIT(C427,""-""),2)),C427)"),"EAC Usman Sadar")</f>
        <v>EAC Usman Sadar</v>
      </c>
      <c r="G427" s="3" t="str">
        <f>IFERROR(__xludf.DUMMYFUNCTION("TRIM(INDEX(SPLIT(C427,""-""),1))"),"Gresik")</f>
        <v>Gresik</v>
      </c>
      <c r="H427" s="3" t="str">
        <f>IFERROR(__xludf.DUMMYFUNCTION("TRIM(INDEX(SPLIT(C427,""-""),2))"),"Usman Sadar")</f>
        <v>Usman Sadar</v>
      </c>
      <c r="I427" s="3" t="str">
        <f>IFERROR(__xludf.DUMMYFUNCTION("IFERROR(
TEXTJOIN(CHAR(10),TRUE,
UNIQUE(
FILTER(
'ALL Data Intertest 22 Jul 26'!F:F,
'ALL Data Intertest 22 Jul 26'!B:B=B427,
'ALL Data Intertest 22 Jul 26'!C:C=H427
)
)
),
"""")"),"")</f>
        <v/>
      </c>
      <c r="J427" s="7">
        <v>-7.1551719</v>
      </c>
      <c r="K427" s="7">
        <v>112.6501317</v>
      </c>
    </row>
    <row r="428">
      <c r="A428" s="3">
        <f t="shared" si="1"/>
        <v>427</v>
      </c>
      <c r="B428" s="4" t="s">
        <v>777</v>
      </c>
      <c r="C428" s="8" t="s">
        <v>668</v>
      </c>
      <c r="D428" s="6" t="s">
        <v>857</v>
      </c>
      <c r="E428" s="3"/>
      <c r="F428" s="3" t="str">
        <f>IFERROR(__xludf.DUMMYFUNCTION("SWITCH(
  TRUE,
  REGEXMATCH(B428,""Brain Academy""),""BAC"",
  REGEXMATCH(B428,""English Academy""),""EAC"",
  """"
)&amp;"" ""&amp;IFERROR(TRIM(INDEX(SPLIT(C428,""-""),2)),C428)"),"EAC Sudirman")</f>
        <v>EAC Sudirman</v>
      </c>
      <c r="G428" s="3" t="str">
        <f>IFERROR(__xludf.DUMMYFUNCTION("TRIM(INDEX(SPLIT(C428,""-""),1))"),"Indramayu")</f>
        <v>Indramayu</v>
      </c>
      <c r="H428" s="3" t="str">
        <f>IFERROR(__xludf.DUMMYFUNCTION("TRIM(INDEX(SPLIT(C428,""-""),2))"),"Sudirman")</f>
        <v>Sudirman</v>
      </c>
      <c r="I428" s="3" t="str">
        <f>IFERROR(__xludf.DUMMYFUNCTION("IFERROR(
TEXTJOIN(CHAR(10),TRUE,
UNIQUE(
FILTER(
'ALL Data Intertest 22 Jul 26'!F:F,
'ALL Data Intertest 22 Jul 26'!B:B=B428,
'ALL Data Intertest 22 Jul 26'!C:C=H428
)
)
),
"""")"),"")</f>
        <v/>
      </c>
      <c r="J428" s="7">
        <v>-6.3380755</v>
      </c>
      <c r="K428" s="7">
        <v>108.3370062</v>
      </c>
    </row>
    <row r="429">
      <c r="A429" s="3">
        <f t="shared" si="1"/>
        <v>428</v>
      </c>
      <c r="B429" s="4" t="s">
        <v>777</v>
      </c>
      <c r="C429" s="8" t="s">
        <v>314</v>
      </c>
      <c r="D429" s="6" t="s">
        <v>858</v>
      </c>
      <c r="E429" s="3"/>
      <c r="F429" s="3" t="str">
        <f>IFERROR(__xludf.DUMMYFUNCTION("SWITCH(
  TRUE,
  REGEXMATCH(B429,""Brain Academy""),""BAC"",
  REGEXMATCH(B429,""English Academy""),""EAC"",
  """"
)&amp;"" ""&amp;IFERROR(TRIM(INDEX(SPLIT(C429,""-""),2)),C429)"),"EAC Cengkareng")</f>
        <v>EAC Cengkareng</v>
      </c>
      <c r="G429" s="3" t="str">
        <f>IFERROR(__xludf.DUMMYFUNCTION("TRIM(INDEX(SPLIT(C429,""-""),1))"),"Jakarta Barat")</f>
        <v>Jakarta Barat</v>
      </c>
      <c r="H429" s="3" t="str">
        <f>IFERROR(__xludf.DUMMYFUNCTION("TRIM(INDEX(SPLIT(C429,""-""),2))"),"Cengkareng")</f>
        <v>Cengkareng</v>
      </c>
      <c r="I429" s="3" t="str">
        <f>IFERROR(__xludf.DUMMYFUNCTION("IFERROR(
TEXTJOIN(CHAR(10),TRUE,
UNIQUE(
FILTER(
'ALL Data Intertest 22 Jul 26'!F:F,
'ALL Data Intertest 22 Jul 26'!B:B=B429,
'ALL Data Intertest 22 Jul 26'!C:C=H429
)
)
),
"""")"),"")</f>
        <v/>
      </c>
      <c r="J429" s="7">
        <v>-6.179071</v>
      </c>
      <c r="K429" s="7">
        <v>106.720102</v>
      </c>
    </row>
    <row r="430">
      <c r="A430" s="3">
        <f t="shared" si="1"/>
        <v>429</v>
      </c>
      <c r="B430" s="4" t="s">
        <v>777</v>
      </c>
      <c r="C430" s="8" t="s">
        <v>481</v>
      </c>
      <c r="D430" s="6" t="s">
        <v>859</v>
      </c>
      <c r="E430" s="3"/>
      <c r="F430" s="3" t="str">
        <f>IFERROR(__xludf.DUMMYFUNCTION("SWITCH(
  TRUE,
  REGEXMATCH(B430,""Brain Academy""),""BAC"",
  REGEXMATCH(B430,""English Academy""),""EAC"",
  """"
)&amp;"" ""&amp;IFERROR(TRIM(INDEX(SPLIT(C430,""-""),2)),C430)"),"EAC Citra Garden City")</f>
        <v>EAC Citra Garden City</v>
      </c>
      <c r="G430" s="3" t="str">
        <f>IFERROR(__xludf.DUMMYFUNCTION("TRIM(INDEX(SPLIT(C430,""-""),1))"),"Jakarta Barat")</f>
        <v>Jakarta Barat</v>
      </c>
      <c r="H430" s="3" t="str">
        <f>IFERROR(__xludf.DUMMYFUNCTION("TRIM(INDEX(SPLIT(C430,""-""),2))"),"Citra Garden City")</f>
        <v>Citra Garden City</v>
      </c>
      <c r="I430" s="3" t="str">
        <f>IFERROR(__xludf.DUMMYFUNCTION("IFERROR(
TEXTJOIN(CHAR(10),TRUE,
UNIQUE(
FILTER(
'ALL Data Intertest 22 Jul 26'!F:F,
'ALL Data Intertest 22 Jul 26'!B:B=B430,
'ALL Data Intertest 22 Jul 26'!C:C=H430
)
)
),
"""")"),"")</f>
        <v/>
      </c>
      <c r="J430" s="7">
        <v>-6.1302393</v>
      </c>
      <c r="K430" s="7">
        <v>106.7276047</v>
      </c>
    </row>
    <row r="431">
      <c r="A431" s="3">
        <f t="shared" si="1"/>
        <v>430</v>
      </c>
      <c r="B431" s="4" t="s">
        <v>777</v>
      </c>
      <c r="C431" s="8" t="s">
        <v>94</v>
      </c>
      <c r="D431" s="6" t="s">
        <v>95</v>
      </c>
      <c r="E431" s="3"/>
      <c r="F431" s="3" t="str">
        <f>IFERROR(__xludf.DUMMYFUNCTION("SWITCH(
  TRUE,
  REGEXMATCH(B431,""Brain Academy""),""BAC"",
  REGEXMATCH(B431,""English Academy""),""EAC"",
  """"
)&amp;"" ""&amp;IFERROR(TRIM(INDEX(SPLIT(C431,""-""),2)),C431)"),"EAC Kemanggisan")</f>
        <v>EAC Kemanggisan</v>
      </c>
      <c r="G431" s="3" t="str">
        <f>IFERROR(__xludf.DUMMYFUNCTION("TRIM(INDEX(SPLIT(C431,""-""),1))"),"Jakarta Barat")</f>
        <v>Jakarta Barat</v>
      </c>
      <c r="H431" s="3" t="str">
        <f>IFERROR(__xludf.DUMMYFUNCTION("TRIM(INDEX(SPLIT(C431,""-""),2))"),"Kemanggisan")</f>
        <v>Kemanggisan</v>
      </c>
      <c r="I431" s="3" t="str">
        <f>IFERROR(__xludf.DUMMYFUNCTION("IFERROR(
TEXTJOIN(CHAR(10),TRUE,
UNIQUE(
FILTER(
'ALL Data Intertest 22 Jul 26'!F:F,
'ALL Data Intertest 22 Jul 26'!B:B=B431,
'ALL Data Intertest 22 Jul 26'!C:C=H431
)
)
),
"""")"),"")</f>
        <v/>
      </c>
      <c r="J431" s="7">
        <v>-6.189714599999999</v>
      </c>
      <c r="K431" s="7">
        <v>106.7860953</v>
      </c>
    </row>
    <row r="432">
      <c r="A432" s="3">
        <f t="shared" si="1"/>
        <v>431</v>
      </c>
      <c r="B432" s="4" t="s">
        <v>777</v>
      </c>
      <c r="C432" s="8" t="s">
        <v>753</v>
      </c>
      <c r="D432" s="6" t="s">
        <v>860</v>
      </c>
      <c r="E432" s="3"/>
      <c r="F432" s="3" t="str">
        <f>IFERROR(__xludf.DUMMYFUNCTION("SWITCH(
  TRUE,
  REGEXMATCH(B432,""Brain Academy""),""BAC"",
  REGEXMATCH(B432,""English Academy""),""EAC"",
  """"
)&amp;"" ""&amp;IFERROR(TRIM(INDEX(SPLIT(C432,""-""),2)),C432)"),"EAC Mall Taman Anggrek")</f>
        <v>EAC Mall Taman Anggrek</v>
      </c>
      <c r="G432" s="3" t="str">
        <f>IFERROR(__xludf.DUMMYFUNCTION("TRIM(INDEX(SPLIT(C432,""-""),1))"),"Jakarta Barat")</f>
        <v>Jakarta Barat</v>
      </c>
      <c r="H432" s="3" t="str">
        <f>IFERROR(__xludf.DUMMYFUNCTION("TRIM(INDEX(SPLIT(C432,""-""),2))"),"Mall Taman Anggrek")</f>
        <v>Mall Taman Anggrek</v>
      </c>
      <c r="I432" s="3" t="str">
        <f>IFERROR(__xludf.DUMMYFUNCTION("IFERROR(
TEXTJOIN(CHAR(10),TRUE,
UNIQUE(
FILTER(
'ALL Data Intertest 22 Jul 26'!F:F,
'ALL Data Intertest 22 Jul 26'!B:B=B432,
'ALL Data Intertest 22 Jul 26'!C:C=H432
)
)
),
"""")"),"")</f>
        <v/>
      </c>
      <c r="J432" s="7">
        <v>-6.1782936</v>
      </c>
      <c r="K432" s="7">
        <v>106.7924023</v>
      </c>
    </row>
    <row r="433">
      <c r="A433" s="3">
        <f t="shared" si="1"/>
        <v>432</v>
      </c>
      <c r="B433" s="4" t="s">
        <v>777</v>
      </c>
      <c r="C433" s="8" t="s">
        <v>861</v>
      </c>
      <c r="D433" s="6" t="s">
        <v>862</v>
      </c>
      <c r="E433" s="3"/>
      <c r="F433" s="3" t="str">
        <f>IFERROR(__xludf.DUMMYFUNCTION("SWITCH(
  TRUE,
  REGEXMATCH(B433,""Brain Academy""),""BAC"",
  REGEXMATCH(B433,""English Academy""),""EAC"",
  """"
)&amp;"" ""&amp;IFERROR(TRIM(INDEX(SPLIT(C433,""-""),2)),C433)"),"EAC Puri Indah")</f>
        <v>EAC Puri Indah</v>
      </c>
      <c r="G433" s="3" t="str">
        <f>IFERROR(__xludf.DUMMYFUNCTION("TRIM(INDEX(SPLIT(C433,""-""),1))"),"Jakarta Barat")</f>
        <v>Jakarta Barat</v>
      </c>
      <c r="H433" s="3" t="str">
        <f>IFERROR(__xludf.DUMMYFUNCTION("TRIM(INDEX(SPLIT(C433,""-""),2))"),"Puri Indah")</f>
        <v>Puri Indah</v>
      </c>
      <c r="I433" s="3" t="str">
        <f>IFERROR(__xludf.DUMMYFUNCTION("IFERROR(
TEXTJOIN(CHAR(10),TRUE,
UNIQUE(
FILTER(
'ALL Data Intertest 22 Jul 26'!F:F,
'ALL Data Intertest 22 Jul 26'!B:B=B433,
'ALL Data Intertest 22 Jul 26'!C:C=H433
)
)
),
"""")"),"")</f>
        <v/>
      </c>
      <c r="J433" s="7">
        <v>-6.1870368</v>
      </c>
      <c r="K433" s="7">
        <v>106.7553851</v>
      </c>
    </row>
    <row r="434">
      <c r="A434" s="3">
        <f t="shared" si="1"/>
        <v>433</v>
      </c>
      <c r="B434" s="4" t="s">
        <v>777</v>
      </c>
      <c r="C434" s="8" t="s">
        <v>410</v>
      </c>
      <c r="D434" s="6" t="s">
        <v>863</v>
      </c>
      <c r="E434" s="3"/>
      <c r="F434" s="3" t="str">
        <f>IFERROR(__xludf.DUMMYFUNCTION("SWITCH(
  TRUE,
  REGEXMATCH(B434,""Brain Academy""),""BAC"",
  REGEXMATCH(B434,""English Academy""),""EAC"",
  """"
)&amp;"" ""&amp;IFERROR(TRIM(INDEX(SPLIT(C434,""-""),2)),C434)"),"EAC Cempaka Putih")</f>
        <v>EAC Cempaka Putih</v>
      </c>
      <c r="G434" s="3" t="str">
        <f>IFERROR(__xludf.DUMMYFUNCTION("TRIM(INDEX(SPLIT(C434,""-""),1))"),"Jakarta Pusat")</f>
        <v>Jakarta Pusat</v>
      </c>
      <c r="H434" s="3" t="str">
        <f>IFERROR(__xludf.DUMMYFUNCTION("TRIM(INDEX(SPLIT(C434,""-""),2))"),"Cempaka Putih")</f>
        <v>Cempaka Putih</v>
      </c>
      <c r="I434" s="3" t="str">
        <f>IFERROR(__xludf.DUMMYFUNCTION("IFERROR(
TEXTJOIN(CHAR(10),TRUE,
UNIQUE(
FILTER(
'ALL Data Intertest 22 Jul 26'!F:F,
'ALL Data Intertest 22 Jul 26'!B:B=B434,
'ALL Data Intertest 22 Jul 26'!C:C=H434
)
)
),
"""")"),"")</f>
        <v/>
      </c>
      <c r="J434" s="7">
        <v>-6.171544799999999</v>
      </c>
      <c r="K434" s="7">
        <v>106.8669056</v>
      </c>
    </row>
    <row r="435">
      <c r="A435" s="3">
        <f t="shared" si="1"/>
        <v>434</v>
      </c>
      <c r="B435" s="4" t="s">
        <v>777</v>
      </c>
      <c r="C435" s="8" t="s">
        <v>97</v>
      </c>
      <c r="D435" s="6" t="s">
        <v>864</v>
      </c>
      <c r="E435" s="3"/>
      <c r="F435" s="3" t="str">
        <f>IFERROR(__xludf.DUMMYFUNCTION("SWITCH(
  TRUE,
  REGEXMATCH(B435,""Brain Academy""),""BAC"",
  REGEXMATCH(B435,""English Academy""),""EAC"",
  """"
)&amp;"" ""&amp;IFERROR(TRIM(INDEX(SPLIT(C435,""-""),2)),C435)"),"EAC Fatmawati")</f>
        <v>EAC Fatmawati</v>
      </c>
      <c r="G435" s="3" t="str">
        <f>IFERROR(__xludf.DUMMYFUNCTION("TRIM(INDEX(SPLIT(C435,""-""),1))"),"Jakarta Selatan")</f>
        <v>Jakarta Selatan</v>
      </c>
      <c r="H435" s="3" t="str">
        <f>IFERROR(__xludf.DUMMYFUNCTION("TRIM(INDEX(SPLIT(C435,""-""),2))"),"Fatmawati")</f>
        <v>Fatmawati</v>
      </c>
      <c r="I435" s="3" t="str">
        <f>IFERROR(__xludf.DUMMYFUNCTION("IFERROR(
TEXTJOIN(CHAR(10),TRUE,
UNIQUE(
FILTER(
'ALL Data Intertest 22 Jul 26'!F:F,
'ALL Data Intertest 22 Jul 26'!B:B=B435,
'ALL Data Intertest 22 Jul 26'!C:C=H435
)
)
),
"""")"),"")</f>
        <v/>
      </c>
      <c r="J435" s="7">
        <v>-6.300867299999999</v>
      </c>
      <c r="K435" s="7">
        <v>106.7923833</v>
      </c>
    </row>
    <row r="436">
      <c r="A436" s="3">
        <f t="shared" si="1"/>
        <v>435</v>
      </c>
      <c r="B436" s="4" t="s">
        <v>777</v>
      </c>
      <c r="C436" s="8" t="s">
        <v>354</v>
      </c>
      <c r="D436" s="6" t="s">
        <v>865</v>
      </c>
      <c r="E436" s="3"/>
      <c r="F436" s="3" t="str">
        <f>IFERROR(__xludf.DUMMYFUNCTION("SWITCH(
  TRUE,
  REGEXMATCH(B436,""Brain Academy""),""BAC"",
  REGEXMATCH(B436,""English Academy""),""EAC"",
  """"
)&amp;"" ""&amp;IFERROR(TRIM(INDEX(SPLIT(C436,""-""),2)),C436)"),"EAC Jagakarsa")</f>
        <v>EAC Jagakarsa</v>
      </c>
      <c r="G436" s="3" t="str">
        <f>IFERROR(__xludf.DUMMYFUNCTION("TRIM(INDEX(SPLIT(C436,""-""),1))"),"Jakarta Selatan")</f>
        <v>Jakarta Selatan</v>
      </c>
      <c r="H436" s="3" t="str">
        <f>IFERROR(__xludf.DUMMYFUNCTION("TRIM(INDEX(SPLIT(C436,""-""),2))"),"Jagakarsa")</f>
        <v>Jagakarsa</v>
      </c>
      <c r="I436" s="3" t="str">
        <f>IFERROR(__xludf.DUMMYFUNCTION("IFERROR(
TEXTJOIN(CHAR(10),TRUE,
UNIQUE(
FILTER(
'ALL Data Intertest 22 Jul 26'!F:F,
'ALL Data Intertest 22 Jul 26'!B:B=B436,
'ALL Data Intertest 22 Jul 26'!C:C=H436
)
)
),
"""")"),"")</f>
        <v/>
      </c>
      <c r="J436" s="7">
        <v>-6.3604508</v>
      </c>
      <c r="K436" s="7">
        <v>106.80104</v>
      </c>
    </row>
    <row r="437">
      <c r="A437" s="3">
        <f t="shared" si="1"/>
        <v>436</v>
      </c>
      <c r="B437" s="4" t="s">
        <v>777</v>
      </c>
      <c r="C437" s="8" t="s">
        <v>39</v>
      </c>
      <c r="D437" s="6" t="s">
        <v>866</v>
      </c>
      <c r="E437" s="3"/>
      <c r="F437" s="3" t="str">
        <f>IFERROR(__xludf.DUMMYFUNCTION("SWITCH(
  TRUE,
  REGEXMATCH(B437,""Brain Academy""),""BAC"",
  REGEXMATCH(B437,""English Academy""),""EAC"",
  """"
)&amp;"" ""&amp;IFERROR(TRIM(INDEX(SPLIT(C437,""-""),2)),C437)"),"EAC Kebayoran Baru")</f>
        <v>EAC Kebayoran Baru</v>
      </c>
      <c r="G437" s="3" t="str">
        <f>IFERROR(__xludf.DUMMYFUNCTION("TRIM(INDEX(SPLIT(C437,""-""),1))"),"Jakarta Selatan")</f>
        <v>Jakarta Selatan</v>
      </c>
      <c r="H437" s="3" t="str">
        <f>IFERROR(__xludf.DUMMYFUNCTION("TRIM(INDEX(SPLIT(C437,""-""),2))"),"Kebayoran Baru")</f>
        <v>Kebayoran Baru</v>
      </c>
      <c r="I437" s="3" t="str">
        <f>IFERROR(__xludf.DUMMYFUNCTION("IFERROR(
TEXTJOIN(CHAR(10),TRUE,
UNIQUE(
FILTER(
'ALL Data Intertest 22 Jul 26'!F:F,
'ALL Data Intertest 22 Jul 26'!B:B=B437,
'ALL Data Intertest 22 Jul 26'!C:C=H437
)
)
),
"""")"),"")</f>
        <v/>
      </c>
      <c r="J437" s="7">
        <v>-6.2393544</v>
      </c>
      <c r="K437" s="7">
        <v>106.7851643</v>
      </c>
    </row>
    <row r="438">
      <c r="A438" s="3">
        <f t="shared" si="1"/>
        <v>437</v>
      </c>
      <c r="B438" s="4" t="s">
        <v>777</v>
      </c>
      <c r="C438" s="8" t="s">
        <v>420</v>
      </c>
      <c r="D438" s="6" t="s">
        <v>867</v>
      </c>
      <c r="E438" s="3"/>
      <c r="F438" s="3" t="str">
        <f>IFERROR(__xludf.DUMMYFUNCTION("SWITCH(
  TRUE,
  REGEXMATCH(B438,""Brain Academy""),""BAC"",
  REGEXMATCH(B438,""English Academy""),""EAC"",
  """"
)&amp;"" ""&amp;IFERROR(TRIM(INDEX(SPLIT(C438,""-""),2)),C438)"),"EAC Pejaten")</f>
        <v>EAC Pejaten</v>
      </c>
      <c r="G438" s="3" t="str">
        <f>IFERROR(__xludf.DUMMYFUNCTION("TRIM(INDEX(SPLIT(C438,""-""),1))"),"Jakarta Selatan")</f>
        <v>Jakarta Selatan</v>
      </c>
      <c r="H438" s="3" t="str">
        <f>IFERROR(__xludf.DUMMYFUNCTION("TRIM(INDEX(SPLIT(C438,""-""),2))"),"Pejaten")</f>
        <v>Pejaten</v>
      </c>
      <c r="I438" s="3" t="str">
        <f>IFERROR(__xludf.DUMMYFUNCTION("IFERROR(
TEXTJOIN(CHAR(10),TRUE,
UNIQUE(
FILTER(
'ALL Data Intertest 22 Jul 26'!F:F,
'ALL Data Intertest 22 Jul 26'!B:B=B438,
'ALL Data Intertest 22 Jul 26'!C:C=H438
)
)
),
"""")"),"")</f>
        <v/>
      </c>
      <c r="J438" s="7">
        <v>-6.270195999999999</v>
      </c>
      <c r="K438" s="7">
        <v>106.8314681</v>
      </c>
    </row>
    <row r="439">
      <c r="A439" s="3">
        <f t="shared" si="1"/>
        <v>438</v>
      </c>
      <c r="B439" s="4" t="s">
        <v>777</v>
      </c>
      <c r="C439" s="8" t="s">
        <v>278</v>
      </c>
      <c r="D439" s="6" t="s">
        <v>868</v>
      </c>
      <c r="E439" s="3"/>
      <c r="F439" s="3" t="str">
        <f>IFERROR(__xludf.DUMMYFUNCTION("SWITCH(
  TRUE,
  REGEXMATCH(B439,""Brain Academy""),""BAC"",
  REGEXMATCH(B439,""English Academy""),""EAC"",
  """"
)&amp;"" ""&amp;IFERROR(TRIM(INDEX(SPLIT(C439,""-""),2)),C439)"),"EAC Petukangan")</f>
        <v>EAC Petukangan</v>
      </c>
      <c r="G439" s="3" t="str">
        <f>IFERROR(__xludf.DUMMYFUNCTION("TRIM(INDEX(SPLIT(C439,""-""),1))"),"Jakarta Selatan")</f>
        <v>Jakarta Selatan</v>
      </c>
      <c r="H439" s="3" t="str">
        <f>IFERROR(__xludf.DUMMYFUNCTION("TRIM(INDEX(SPLIT(C439,""-""),2))"),"Petukangan")</f>
        <v>Petukangan</v>
      </c>
      <c r="I439" s="3" t="str">
        <f>IFERROR(__xludf.DUMMYFUNCTION("IFERROR(
TEXTJOIN(CHAR(10),TRUE,
UNIQUE(
FILTER(
'ALL Data Intertest 22 Jul 26'!F:F,
'ALL Data Intertest 22 Jul 26'!B:B=B439,
'ALL Data Intertest 22 Jul 26'!C:C=H439
)
)
),
"""")"),"")</f>
        <v/>
      </c>
      <c r="J439" s="7">
        <v>-6.238184</v>
      </c>
      <c r="K439" s="7">
        <v>106.748846</v>
      </c>
    </row>
    <row r="440">
      <c r="A440" s="3">
        <f t="shared" si="1"/>
        <v>439</v>
      </c>
      <c r="B440" s="4" t="s">
        <v>777</v>
      </c>
      <c r="C440" s="8" t="s">
        <v>325</v>
      </c>
      <c r="D440" s="6" t="s">
        <v>869</v>
      </c>
      <c r="E440" s="3"/>
      <c r="F440" s="3" t="str">
        <f>IFERROR(__xludf.DUMMYFUNCTION("SWITCH(
  TRUE,
  REGEXMATCH(B440,""Brain Academy""),""BAC"",
  REGEXMATCH(B440,""English Academy""),""EAC"",
  """"
)&amp;"" ""&amp;IFERROR(TRIM(INDEX(SPLIT(C440,""-""),2)),C440)"),"EAC Tebet")</f>
        <v>EAC Tebet</v>
      </c>
      <c r="G440" s="3" t="str">
        <f>IFERROR(__xludf.DUMMYFUNCTION("TRIM(INDEX(SPLIT(C440,""-""),1))"),"Jakarta Selatan")</f>
        <v>Jakarta Selatan</v>
      </c>
      <c r="H440" s="3" t="str">
        <f>IFERROR(__xludf.DUMMYFUNCTION("TRIM(INDEX(SPLIT(C440,""-""),2))"),"Tebet")</f>
        <v>Tebet</v>
      </c>
      <c r="I440" s="3" t="str">
        <f>IFERROR(__xludf.DUMMYFUNCTION("IFERROR(
TEXTJOIN(CHAR(10),TRUE,
UNIQUE(
FILTER(
'ALL Data Intertest 22 Jul 26'!F:F,
'ALL Data Intertest 22 Jul 26'!B:B=B440,
'ALL Data Intertest 22 Jul 26'!C:C=H440
)
)
),
"""")"),"")</f>
        <v/>
      </c>
      <c r="J440" s="7">
        <v>-6.2288751</v>
      </c>
      <c r="K440" s="7">
        <v>106.8540683</v>
      </c>
    </row>
    <row r="441">
      <c r="A441" s="3">
        <f t="shared" si="1"/>
        <v>440</v>
      </c>
      <c r="B441" s="4" t="s">
        <v>777</v>
      </c>
      <c r="C441" s="8" t="s">
        <v>223</v>
      </c>
      <c r="D441" s="6" t="s">
        <v>870</v>
      </c>
      <c r="E441" s="3"/>
      <c r="F441" s="3" t="str">
        <f>IFERROR(__xludf.DUMMYFUNCTION("SWITCH(
  TRUE,
  REGEXMATCH(B441,""Brain Academy""),""BAC"",
  REGEXMATCH(B441,""English Academy""),""EAC"",
  """"
)&amp;"" ""&amp;IFERROR(TRIM(INDEX(SPLIT(C441,""-""),2)),C441)"),"EAC Ciracas")</f>
        <v>EAC Ciracas</v>
      </c>
      <c r="G441" s="3" t="str">
        <f>IFERROR(__xludf.DUMMYFUNCTION("TRIM(INDEX(SPLIT(C441,""-""),1))"),"Jakarta Timur")</f>
        <v>Jakarta Timur</v>
      </c>
      <c r="H441" s="3" t="str">
        <f>IFERROR(__xludf.DUMMYFUNCTION("TRIM(INDEX(SPLIT(C441,""-""),2))"),"Ciracas")</f>
        <v>Ciracas</v>
      </c>
      <c r="I441" s="3" t="str">
        <f>IFERROR(__xludf.DUMMYFUNCTION("IFERROR(
TEXTJOIN(CHAR(10),TRUE,
UNIQUE(
FILTER(
'ALL Data Intertest 22 Jul 26'!F:F,
'ALL Data Intertest 22 Jul 26'!B:B=B441,
'ALL Data Intertest 22 Jul 26'!C:C=H441
)
)
),
"""")"),"")</f>
        <v/>
      </c>
      <c r="J441" s="7">
        <v>-6.2126204</v>
      </c>
      <c r="K441" s="7">
        <v>106.9434084</v>
      </c>
    </row>
    <row r="442">
      <c r="A442" s="3">
        <f t="shared" si="1"/>
        <v>441</v>
      </c>
      <c r="B442" s="4" t="s">
        <v>777</v>
      </c>
      <c r="C442" s="8" t="s">
        <v>417</v>
      </c>
      <c r="D442" s="6" t="s">
        <v>871</v>
      </c>
      <c r="E442" s="3"/>
      <c r="F442" s="3" t="str">
        <f>IFERROR(__xludf.DUMMYFUNCTION("SWITCH(
  TRUE,
  REGEXMATCH(B442,""Brain Academy""),""BAC"",
  REGEXMATCH(B442,""English Academy""),""EAC"",
  """"
)&amp;"" ""&amp;IFERROR(TRIM(INDEX(SPLIT(C442,""-""),2)),C442)"),"EAC Condet")</f>
        <v>EAC Condet</v>
      </c>
      <c r="G442" s="3" t="str">
        <f>IFERROR(__xludf.DUMMYFUNCTION("TRIM(INDEX(SPLIT(C442,""-""),1))"),"Jakarta Timur")</f>
        <v>Jakarta Timur</v>
      </c>
      <c r="H442" s="3" t="str">
        <f>IFERROR(__xludf.DUMMYFUNCTION("TRIM(INDEX(SPLIT(C442,""-""),2))"),"Condet")</f>
        <v>Condet</v>
      </c>
      <c r="I442" s="3" t="str">
        <f>IFERROR(__xludf.DUMMYFUNCTION("IFERROR(
TEXTJOIN(CHAR(10),TRUE,
UNIQUE(
FILTER(
'ALL Data Intertest 22 Jul 26'!F:F,
'ALL Data Intertest 22 Jul 26'!B:B=B442,
'ALL Data Intertest 22 Jul 26'!C:C=H442
)
)
),
"""")"),"")</f>
        <v/>
      </c>
      <c r="J442" s="7">
        <v>-6.2853987</v>
      </c>
      <c r="K442" s="7">
        <v>106.8556745</v>
      </c>
    </row>
    <row r="443">
      <c r="A443" s="3">
        <f t="shared" si="1"/>
        <v>442</v>
      </c>
      <c r="B443" s="4" t="s">
        <v>777</v>
      </c>
      <c r="C443" s="8" t="s">
        <v>103</v>
      </c>
      <c r="D443" s="6" t="s">
        <v>872</v>
      </c>
      <c r="E443" s="3"/>
      <c r="F443" s="3" t="str">
        <f>IFERROR(__xludf.DUMMYFUNCTION("SWITCH(
  TRUE,
  REGEXMATCH(B443,""Brain Academy""),""BAC"",
  REGEXMATCH(B443,""English Academy""),""EAC"",
  """"
)&amp;"" ""&amp;IFERROR(TRIM(INDEX(SPLIT(C443,""-""),2)),C443)"),"EAC Duren Sawit")</f>
        <v>EAC Duren Sawit</v>
      </c>
      <c r="G443" s="3" t="str">
        <f>IFERROR(__xludf.DUMMYFUNCTION("TRIM(INDEX(SPLIT(C443,""-""),1))"),"Jakarta Timur")</f>
        <v>Jakarta Timur</v>
      </c>
      <c r="H443" s="3" t="str">
        <f>IFERROR(__xludf.DUMMYFUNCTION("TRIM(INDEX(SPLIT(C443,""-""),2))"),"Duren Sawit")</f>
        <v>Duren Sawit</v>
      </c>
      <c r="I443" s="3" t="str">
        <f>IFERROR(__xludf.DUMMYFUNCTION("IFERROR(
TEXTJOIN(CHAR(10),TRUE,
UNIQUE(
FILTER(
'ALL Data Intertest 22 Jul 26'!F:F,
'ALL Data Intertest 22 Jul 26'!B:B=B443,
'ALL Data Intertest 22 Jul 26'!C:C=H443
)
)
),
"""")"),"")</f>
        <v/>
      </c>
      <c r="J443" s="7">
        <v>-6.2465382</v>
      </c>
      <c r="K443" s="7">
        <v>106.919428</v>
      </c>
    </row>
    <row r="444">
      <c r="A444" s="3">
        <f t="shared" si="1"/>
        <v>443</v>
      </c>
      <c r="B444" s="4" t="s">
        <v>777</v>
      </c>
      <c r="C444" s="8" t="s">
        <v>32</v>
      </c>
      <c r="D444" s="6" t="s">
        <v>33</v>
      </c>
      <c r="E444" s="3"/>
      <c r="F444" s="3" t="str">
        <f>IFERROR(__xludf.DUMMYFUNCTION("SWITCH(
  TRUE,
  REGEXMATCH(B444,""Brain Academy""),""BAC"",
  REGEXMATCH(B444,""English Academy""),""EAC"",
  """"
)&amp;"" ""&amp;IFERROR(TRIM(INDEX(SPLIT(C444,""-""),2)),C444)"),"EAC Pondok Gede")</f>
        <v>EAC Pondok Gede</v>
      </c>
      <c r="G444" s="3" t="str">
        <f>IFERROR(__xludf.DUMMYFUNCTION("TRIM(INDEX(SPLIT(C444,""-""),1))"),"Jakarta Timur")</f>
        <v>Jakarta Timur</v>
      </c>
      <c r="H444" s="3" t="str">
        <f>IFERROR(__xludf.DUMMYFUNCTION("TRIM(INDEX(SPLIT(C444,""-""),2))"),"Pondok Gede")</f>
        <v>Pondok Gede</v>
      </c>
      <c r="I444" s="3" t="str">
        <f>IFERROR(__xludf.DUMMYFUNCTION("IFERROR(
TEXTJOIN(CHAR(10),TRUE,
UNIQUE(
FILTER(
'ALL Data Intertest 22 Jul 26'!F:F,
'ALL Data Intertest 22 Jul 26'!B:B=B444,
'ALL Data Intertest 22 Jul 26'!C:C=H444
)
)
),
"""")"),"")</f>
        <v/>
      </c>
      <c r="J444" s="7">
        <v>-6.2862892</v>
      </c>
      <c r="K444" s="7">
        <v>106.8989817</v>
      </c>
    </row>
    <row r="445">
      <c r="A445" s="3">
        <f t="shared" si="1"/>
        <v>444</v>
      </c>
      <c r="B445" s="4" t="s">
        <v>777</v>
      </c>
      <c r="C445" s="8" t="s">
        <v>100</v>
      </c>
      <c r="D445" s="6" t="s">
        <v>873</v>
      </c>
      <c r="E445" s="3"/>
      <c r="F445" s="3" t="str">
        <f>IFERROR(__xludf.DUMMYFUNCTION("SWITCH(
  TRUE,
  REGEXMATCH(B445,""Brain Academy""),""BAC"",
  REGEXMATCH(B445,""English Academy""),""EAC"",
  """"
)&amp;"" ""&amp;IFERROR(TRIM(INDEX(SPLIT(C445,""-""),2)),C445)"),"EAC Rawamangun")</f>
        <v>EAC Rawamangun</v>
      </c>
      <c r="G445" s="3" t="str">
        <f>IFERROR(__xludf.DUMMYFUNCTION("TRIM(INDEX(SPLIT(C445,""-""),1))"),"Jakarta Timur")</f>
        <v>Jakarta Timur</v>
      </c>
      <c r="H445" s="3" t="str">
        <f>IFERROR(__xludf.DUMMYFUNCTION("TRIM(INDEX(SPLIT(C445,""-""),2))"),"Rawamangun")</f>
        <v>Rawamangun</v>
      </c>
      <c r="I445" s="3" t="str">
        <f>IFERROR(__xludf.DUMMYFUNCTION("IFERROR(
TEXTJOIN(CHAR(10),TRUE,
UNIQUE(
FILTER(
'ALL Data Intertest 22 Jul 26'!F:F,
'ALL Data Intertest 22 Jul 26'!B:B=B445,
'ALL Data Intertest 22 Jul 26'!C:C=H445
)
)
),
"""")"),"")</f>
        <v/>
      </c>
      <c r="J445" s="7">
        <v>-6.1948925</v>
      </c>
      <c r="K445" s="7">
        <v>106.890658</v>
      </c>
    </row>
    <row r="446">
      <c r="A446" s="3">
        <f t="shared" si="1"/>
        <v>445</v>
      </c>
      <c r="B446" s="4" t="s">
        <v>777</v>
      </c>
      <c r="C446" s="8" t="s">
        <v>874</v>
      </c>
      <c r="D446" s="6" t="s">
        <v>875</v>
      </c>
      <c r="E446" s="3"/>
      <c r="F446" s="3" t="str">
        <f>IFERROR(__xludf.DUMMYFUNCTION("SWITCH(
  TRUE,
  REGEXMATCH(B446,""Brain Academy""),""BAC"",
  REGEXMATCH(B446,""English Academy""),""EAC"",
  """"
)&amp;"" ""&amp;IFERROR(TRIM(INDEX(SPLIT(C446,""-""),2)),C446)"),"EAC Kelapa Gading")</f>
        <v>EAC Kelapa Gading</v>
      </c>
      <c r="G446" s="3" t="str">
        <f>IFERROR(__xludf.DUMMYFUNCTION("TRIM(INDEX(SPLIT(C446,""-""),1))"),"Jakarta Utara")</f>
        <v>Jakarta Utara</v>
      </c>
      <c r="H446" s="3" t="str">
        <f>IFERROR(__xludf.DUMMYFUNCTION("TRIM(INDEX(SPLIT(C446,""-""),2))"),"Kelapa Gading")</f>
        <v>Kelapa Gading</v>
      </c>
      <c r="I446" s="3" t="str">
        <f>IFERROR(__xludf.DUMMYFUNCTION("IFERROR(
TEXTJOIN(CHAR(10),TRUE,
UNIQUE(
FILTER(
'ALL Data Intertest 22 Jul 26'!F:F,
'ALL Data Intertest 22 Jul 26'!B:B=B446,
'ALL Data Intertest 22 Jul 26'!C:C=H446
)
)
),
"""")"),"")</f>
        <v/>
      </c>
      <c r="J446" s="7">
        <v>-6.1460062</v>
      </c>
      <c r="K446" s="7">
        <v>106.8932903</v>
      </c>
    </row>
    <row r="447">
      <c r="A447" s="3">
        <f t="shared" si="1"/>
        <v>446</v>
      </c>
      <c r="B447" s="4" t="s">
        <v>777</v>
      </c>
      <c r="C447" s="8" t="s">
        <v>876</v>
      </c>
      <c r="D447" s="6" t="s">
        <v>877</v>
      </c>
      <c r="E447" s="3"/>
      <c r="F447" s="3" t="str">
        <f>IFERROR(__xludf.DUMMYFUNCTION("SWITCH(
  TRUE,
  REGEXMATCH(B447,""Brain Academy""),""BAC"",
  REGEXMATCH(B447,""English Academy""),""EAC"",
  """"
)&amp;"" ""&amp;IFERROR(TRIM(INDEX(SPLIT(C447,""-""),2)),C447)"),"EAC PIK")</f>
        <v>EAC PIK</v>
      </c>
      <c r="G447" s="3" t="str">
        <f>IFERROR(__xludf.DUMMYFUNCTION("TRIM(INDEX(SPLIT(C447,""-""),1))"),"Jakarta Utara")</f>
        <v>Jakarta Utara</v>
      </c>
      <c r="H447" s="3" t="str">
        <f>IFERROR(__xludf.DUMMYFUNCTION("TRIM(INDEX(SPLIT(C447,""-""),2))"),"PIK")</f>
        <v>PIK</v>
      </c>
      <c r="I447" s="3" t="str">
        <f>IFERROR(__xludf.DUMMYFUNCTION("IFERROR(
TEXTJOIN(CHAR(10),TRUE,
UNIQUE(
FILTER(
'ALL Data Intertest 22 Jul 26'!F:F,
'ALL Data Intertest 22 Jul 26'!B:B=B447,
'ALL Data Intertest 22 Jul 26'!C:C=H447
)
)
),
"""")"),"")</f>
        <v/>
      </c>
      <c r="J447" s="7">
        <v>-6.1115812</v>
      </c>
      <c r="K447" s="7">
        <v>106.7424621</v>
      </c>
    </row>
    <row r="448">
      <c r="A448" s="3">
        <f t="shared" si="1"/>
        <v>447</v>
      </c>
      <c r="B448" s="4" t="s">
        <v>777</v>
      </c>
      <c r="C448" s="8" t="s">
        <v>464</v>
      </c>
      <c r="D448" s="6" t="s">
        <v>878</v>
      </c>
      <c r="E448" s="3"/>
      <c r="F448" s="3" t="str">
        <f>IFERROR(__xludf.DUMMYFUNCTION("SWITCH(
  TRUE,
  REGEXMATCH(B448,""Brain Academy""),""BAC"",
  REGEXMATCH(B448,""English Academy""),""EAC"",
  """"
)&amp;"" ""&amp;IFERROR(TRIM(INDEX(SPLIT(C448,""-""),2)),C448)"),"EAC Pluit")</f>
        <v>EAC Pluit</v>
      </c>
      <c r="G448" s="3" t="str">
        <f>IFERROR(__xludf.DUMMYFUNCTION("TRIM(INDEX(SPLIT(C448,""-""),1))"),"Jakarta Utara")</f>
        <v>Jakarta Utara</v>
      </c>
      <c r="H448" s="3" t="str">
        <f>IFERROR(__xludf.DUMMYFUNCTION("TRIM(INDEX(SPLIT(C448,""-""),2))"),"Pluit")</f>
        <v>Pluit</v>
      </c>
      <c r="I448" s="3" t="str">
        <f>IFERROR(__xludf.DUMMYFUNCTION("IFERROR(
TEXTJOIN(CHAR(10),TRUE,
UNIQUE(
FILTER(
'ALL Data Intertest 22 Jul 26'!F:F,
'ALL Data Intertest 22 Jul 26'!B:B=B448,
'ALL Data Intertest 22 Jul 26'!C:C=H448
)
)
),
"""")"),"")</f>
        <v/>
      </c>
      <c r="J448" s="7">
        <v>-6.1370651</v>
      </c>
      <c r="K448" s="7">
        <v>106.7986196</v>
      </c>
    </row>
    <row r="449">
      <c r="A449" s="3">
        <f t="shared" si="1"/>
        <v>448</v>
      </c>
      <c r="B449" s="4" t="s">
        <v>777</v>
      </c>
      <c r="C449" s="8" t="s">
        <v>195</v>
      </c>
      <c r="D449" s="6" t="s">
        <v>879</v>
      </c>
      <c r="E449" s="3"/>
      <c r="F449" s="3" t="str">
        <f>IFERROR(__xludf.DUMMYFUNCTION("SWITCH(
  TRUE,
  REGEXMATCH(B449,""Brain Academy""),""BAC"",
  REGEXMATCH(B449,""English Academy""),""EAC"",
  """"
)&amp;"" ""&amp;IFERROR(TRIM(INDEX(SPLIT(C449,""-""),2)),C449)"),"EAC Sunter")</f>
        <v>EAC Sunter</v>
      </c>
      <c r="G449" s="3" t="str">
        <f>IFERROR(__xludf.DUMMYFUNCTION("TRIM(INDEX(SPLIT(C449,""-""),1))"),"Jakarta Utara")</f>
        <v>Jakarta Utara</v>
      </c>
      <c r="H449" s="3" t="str">
        <f>IFERROR(__xludf.DUMMYFUNCTION("TRIM(INDEX(SPLIT(C449,""-""),2))"),"Sunter")</f>
        <v>Sunter</v>
      </c>
      <c r="I449" s="3" t="str">
        <f>IFERROR(__xludf.DUMMYFUNCTION("IFERROR(
TEXTJOIN(CHAR(10),TRUE,
UNIQUE(
FILTER(
'ALL Data Intertest 22 Jul 26'!F:F,
'ALL Data Intertest 22 Jul 26'!B:B=B449,
'ALL Data Intertest 22 Jul 26'!C:C=H449
)
)
),
"""")"),"")</f>
        <v/>
      </c>
      <c r="J449" s="7">
        <v>-6.1383757</v>
      </c>
      <c r="K449" s="7">
        <v>106.8651277</v>
      </c>
    </row>
    <row r="450">
      <c r="A450" s="3">
        <f t="shared" si="1"/>
        <v>449</v>
      </c>
      <c r="B450" s="4" t="s">
        <v>777</v>
      </c>
      <c r="C450" s="8" t="s">
        <v>454</v>
      </c>
      <c r="D450" s="6" t="s">
        <v>880</v>
      </c>
      <c r="E450" s="3"/>
      <c r="F450" s="3" t="str">
        <f>IFERROR(__xludf.DUMMYFUNCTION("SWITCH(
  TRUE,
  REGEXMATCH(B450,""Brain Academy""),""BAC"",
  REGEXMATCH(B450,""English Academy""),""EAC"",
  """"
)&amp;"" ""&amp;IFERROR(TRIM(INDEX(SPLIT(C450,""-""),2)),C450)"),"EAC Bungo")</f>
        <v>EAC Bungo</v>
      </c>
      <c r="G450" s="3" t="str">
        <f>IFERROR(__xludf.DUMMYFUNCTION("TRIM(INDEX(SPLIT(C450,""-""),1))"),"Jambi")</f>
        <v>Jambi</v>
      </c>
      <c r="H450" s="3" t="str">
        <f>IFERROR(__xludf.DUMMYFUNCTION("TRIM(INDEX(SPLIT(C450,""-""),2))"),"Bungo")</f>
        <v>Bungo</v>
      </c>
      <c r="I450" s="3" t="str">
        <f>IFERROR(__xludf.DUMMYFUNCTION("IFERROR(
TEXTJOIN(CHAR(10),TRUE,
UNIQUE(
FILTER(
'ALL Data Intertest 22 Jul 26'!F:F,
'ALL Data Intertest 22 Jul 26'!B:B=B450,
'ALL Data Intertest 22 Jul 26'!C:C=H450
)
)
),
"""")"),"")</f>
        <v/>
      </c>
      <c r="J450" s="7">
        <v>-1.5033901</v>
      </c>
      <c r="K450" s="7">
        <v>102.1186462</v>
      </c>
    </row>
    <row r="451">
      <c r="A451" s="3">
        <f t="shared" si="1"/>
        <v>450</v>
      </c>
      <c r="B451" s="4" t="s">
        <v>777</v>
      </c>
      <c r="C451" s="8" t="s">
        <v>81</v>
      </c>
      <c r="D451" s="6" t="s">
        <v>881</v>
      </c>
      <c r="E451" s="3"/>
      <c r="F451" s="3" t="str">
        <f>IFERROR(__xludf.DUMMYFUNCTION("SWITCH(
  TRUE,
  REGEXMATCH(B451,""Brain Academy""),""BAC"",
  REGEXMATCH(B451,""English Academy""),""EAC"",
  """"
)&amp;"" ""&amp;IFERROR(TRIM(INDEX(SPLIT(C451,""-""),2)),C451)"),"EAC Thehok")</f>
        <v>EAC Thehok</v>
      </c>
      <c r="G451" s="3" t="str">
        <f>IFERROR(__xludf.DUMMYFUNCTION("TRIM(INDEX(SPLIT(C451,""-""),1))"),"Jambi")</f>
        <v>Jambi</v>
      </c>
      <c r="H451" s="3" t="str">
        <f>IFERROR(__xludf.DUMMYFUNCTION("TRIM(INDEX(SPLIT(C451,""-""),2))"),"Thehok")</f>
        <v>Thehok</v>
      </c>
      <c r="I451" s="3" t="str">
        <f>IFERROR(__xludf.DUMMYFUNCTION("IFERROR(
TEXTJOIN(CHAR(10),TRUE,
UNIQUE(
FILTER(
'ALL Data Intertest 22 Jul 26'!F:F,
'ALL Data Intertest 22 Jul 26'!B:B=B451,
'ALL Data Intertest 22 Jul 26'!C:C=H451
)
)
),
"""")"),"")</f>
        <v/>
      </c>
      <c r="J451" s="7">
        <v>-1.6157869</v>
      </c>
      <c r="K451" s="7">
        <v>103.6277218</v>
      </c>
    </row>
    <row r="452">
      <c r="A452" s="3">
        <f t="shared" si="1"/>
        <v>451</v>
      </c>
      <c r="B452" s="4" t="s">
        <v>777</v>
      </c>
      <c r="C452" s="8" t="s">
        <v>214</v>
      </c>
      <c r="D452" s="6" t="s">
        <v>882</v>
      </c>
      <c r="E452" s="3"/>
      <c r="F452" s="3" t="str">
        <f>IFERROR(__xludf.DUMMYFUNCTION("SWITCH(
  TRUE,
  REGEXMATCH(B452,""Brain Academy""),""BAC"",
  REGEXMATCH(B452,""English Academy""),""EAC"",
  """"
)&amp;"" ""&amp;IFERROR(TRIM(INDEX(SPLIT(C452,""-""),2)),C452)"),"EAC Padang Bulan")</f>
        <v>EAC Padang Bulan</v>
      </c>
      <c r="G452" s="3" t="str">
        <f>IFERROR(__xludf.DUMMYFUNCTION("TRIM(INDEX(SPLIT(C452,""-""),1))"),"Jayapura")</f>
        <v>Jayapura</v>
      </c>
      <c r="H452" s="3" t="str">
        <f>IFERROR(__xludf.DUMMYFUNCTION("TRIM(INDEX(SPLIT(C452,""-""),2))"),"Padang Bulan")</f>
        <v>Padang Bulan</v>
      </c>
      <c r="I452" s="3" t="str">
        <f>IFERROR(__xludf.DUMMYFUNCTION("IFERROR(
TEXTJOIN(CHAR(10),TRUE,
UNIQUE(
FILTER(
'ALL Data Intertest 22 Jul 26'!F:F,
'ALL Data Intertest 22 Jul 26'!B:B=B452,
'ALL Data Intertest 22 Jul 26'!C:C=H452
)
)
),
"""")"),"")</f>
        <v/>
      </c>
      <c r="J452" s="7">
        <v>-2.6074393</v>
      </c>
      <c r="K452" s="7">
        <v>140.6472935</v>
      </c>
    </row>
    <row r="453">
      <c r="A453" s="3">
        <f t="shared" si="1"/>
        <v>452</v>
      </c>
      <c r="B453" s="4" t="s">
        <v>777</v>
      </c>
      <c r="C453" s="8" t="s">
        <v>52</v>
      </c>
      <c r="D453" s="6" t="s">
        <v>883</v>
      </c>
      <c r="E453" s="3"/>
      <c r="F453" s="3" t="str">
        <f>IFERROR(__xludf.DUMMYFUNCTION("SWITCH(
  TRUE,
  REGEXMATCH(B453,""Brain Academy""),""BAC"",
  REGEXMATCH(B453,""English Academy""),""EAC"",
  """"
)&amp;"" ""&amp;IFERROR(TRIM(INDEX(SPLIT(C453,""-""),2)),C453)"),"EAC Sumbersari")</f>
        <v>EAC Sumbersari</v>
      </c>
      <c r="G453" s="3" t="str">
        <f>IFERROR(__xludf.DUMMYFUNCTION("TRIM(INDEX(SPLIT(C453,""-""),1))"),"Jember")</f>
        <v>Jember</v>
      </c>
      <c r="H453" s="3" t="str">
        <f>IFERROR(__xludf.DUMMYFUNCTION("TRIM(INDEX(SPLIT(C453,""-""),2))"),"Sumbersari")</f>
        <v>Sumbersari</v>
      </c>
      <c r="I453" s="3" t="str">
        <f>IFERROR(__xludf.DUMMYFUNCTION("IFERROR(
TEXTJOIN(CHAR(10),TRUE,
UNIQUE(
FILTER(
'ALL Data Intertest 22 Jul 26'!F:F,
'ALL Data Intertest 22 Jul 26'!B:B=B453,
'ALL Data Intertest 22 Jul 26'!C:C=H453
)
)
),
"""")"),"")</f>
        <v/>
      </c>
      <c r="J453" s="7">
        <v>-8.1725909</v>
      </c>
      <c r="K453" s="7">
        <v>113.7085804</v>
      </c>
    </row>
    <row r="454">
      <c r="A454" s="3">
        <f t="shared" si="1"/>
        <v>453</v>
      </c>
      <c r="B454" s="4" t="s">
        <v>777</v>
      </c>
      <c r="C454" s="8" t="s">
        <v>446</v>
      </c>
      <c r="D454" s="6" t="s">
        <v>884</v>
      </c>
      <c r="E454" s="3"/>
      <c r="F454" s="3" t="str">
        <f>IFERROR(__xludf.DUMMYFUNCTION("SWITCH(
  TRUE,
  REGEXMATCH(B454,""Brain Academy""),""BAC"",
  REGEXMATCH(B454,""English Academy""),""EAC"",
  """"
)&amp;"" ""&amp;IFERROR(TRIM(INDEX(SPLIT(C454,""-""),2)),C454)"),"EAC Pemuda")</f>
        <v>EAC Pemuda</v>
      </c>
      <c r="G454" s="3" t="str">
        <f>IFERROR(__xludf.DUMMYFUNCTION("TRIM(INDEX(SPLIT(C454,""-""),1))"),"Jepara")</f>
        <v>Jepara</v>
      </c>
      <c r="H454" s="3" t="str">
        <f>IFERROR(__xludf.DUMMYFUNCTION("TRIM(INDEX(SPLIT(C454,""-""),2))"),"Pemuda")</f>
        <v>Pemuda</v>
      </c>
      <c r="I454" s="3" t="str">
        <f>IFERROR(__xludf.DUMMYFUNCTION("IFERROR(
TEXTJOIN(CHAR(10),TRUE,
UNIQUE(
FILTER(
'ALL Data Intertest 22 Jul 26'!F:F,
'ALL Data Intertest 22 Jul 26'!B:B=B454,
'ALL Data Intertest 22 Jul 26'!C:C=H454
)
)
),
"""")"),"")</f>
        <v/>
      </c>
      <c r="J454" s="7">
        <v>-6.596495099999999</v>
      </c>
      <c r="K454" s="7">
        <v>110.6721153</v>
      </c>
    </row>
    <row r="455">
      <c r="A455" s="3">
        <f t="shared" si="1"/>
        <v>454</v>
      </c>
      <c r="B455" s="4" t="s">
        <v>777</v>
      </c>
      <c r="C455" s="8" t="s">
        <v>674</v>
      </c>
      <c r="D455" s="6" t="s">
        <v>885</v>
      </c>
      <c r="E455" s="3"/>
      <c r="F455" s="3" t="str">
        <f>IFERROR(__xludf.DUMMYFUNCTION("SWITCH(
  TRUE,
  REGEXMATCH(B455,""Brain Academy""),""BAC"",
  REGEXMATCH(B455,""English Academy""),""EAC"",
  """"
)&amp;"" ""&amp;IFERROR(TRIM(INDEX(SPLIT(C455,""-""),2)),C455)"),"EAC Tegalgede")</f>
        <v>EAC Tegalgede</v>
      </c>
      <c r="G455" s="3" t="str">
        <f>IFERROR(__xludf.DUMMYFUNCTION("TRIM(INDEX(SPLIT(C455,""-""),1))"),"Karanganyar")</f>
        <v>Karanganyar</v>
      </c>
      <c r="H455" s="3" t="str">
        <f>IFERROR(__xludf.DUMMYFUNCTION("TRIM(INDEX(SPLIT(C455,""-""),2))"),"Tegalgede")</f>
        <v>Tegalgede</v>
      </c>
      <c r="I455" s="3" t="str">
        <f>IFERROR(__xludf.DUMMYFUNCTION("IFERROR(
TEXTJOIN(CHAR(10),TRUE,
UNIQUE(
FILTER(
'ALL Data Intertest 22 Jul 26'!F:F,
'ALL Data Intertest 22 Jul 26'!B:B=B455,
'ALL Data Intertest 22 Jul 26'!C:C=H455
)
)
),
"""")"),"")</f>
        <v/>
      </c>
      <c r="J455" s="7">
        <v>-7.6005603</v>
      </c>
      <c r="K455" s="7">
        <v>110.9598421</v>
      </c>
    </row>
    <row r="456">
      <c r="A456" s="3">
        <f t="shared" si="1"/>
        <v>455</v>
      </c>
      <c r="B456" s="4" t="s">
        <v>777</v>
      </c>
      <c r="C456" s="8" t="s">
        <v>755</v>
      </c>
      <c r="D456" s="6" t="s">
        <v>886</v>
      </c>
      <c r="E456" s="3"/>
      <c r="F456" s="3" t="str">
        <f>IFERROR(__xludf.DUMMYFUNCTION("SWITCH(
  TRUE,
  REGEXMATCH(B456,""Brain Academy""),""BAC"",
  REGEXMATCH(B456,""English Academy""),""EAC"",
  """"
)&amp;"" ""&amp;IFERROR(TRIM(INDEX(SPLIT(C456,""-""),2)),C456)"),"EAC Resinda Park Mall")</f>
        <v>EAC Resinda Park Mall</v>
      </c>
      <c r="G456" s="3" t="str">
        <f>IFERROR(__xludf.DUMMYFUNCTION("TRIM(INDEX(SPLIT(C456,""-""),1))"),"Karawang")</f>
        <v>Karawang</v>
      </c>
      <c r="H456" s="3" t="str">
        <f>IFERROR(__xludf.DUMMYFUNCTION("TRIM(INDEX(SPLIT(C456,""-""),2))"),"Resinda Park Mall")</f>
        <v>Resinda Park Mall</v>
      </c>
      <c r="I456" s="3" t="str">
        <f>IFERROR(__xludf.DUMMYFUNCTION("IFERROR(
TEXTJOIN(CHAR(10),TRUE,
UNIQUE(
FILTER(
'ALL Data Intertest 22 Jul 26'!F:F,
'ALL Data Intertest 22 Jul 26'!B:B=B456,
'ALL Data Intertest 22 Jul 26'!C:C=H456
)
)
),
"""")"),"")</f>
        <v/>
      </c>
      <c r="J456" s="7">
        <v>-6.3013568</v>
      </c>
      <c r="K456" s="7">
        <v>107.2780537</v>
      </c>
    </row>
    <row r="457">
      <c r="A457" s="3">
        <f t="shared" si="1"/>
        <v>456</v>
      </c>
      <c r="B457" s="4" t="s">
        <v>777</v>
      </c>
      <c r="C457" s="8" t="s">
        <v>67</v>
      </c>
      <c r="D457" s="6" t="s">
        <v>887</v>
      </c>
      <c r="E457" s="3"/>
      <c r="F457" s="3" t="str">
        <f>IFERROR(__xludf.DUMMYFUNCTION("SWITCH(
  TRUE,
  REGEXMATCH(B457,""Brain Academy""),""BAC"",
  REGEXMATCH(B457,""English Academy""),""EAC"",
  """"
)&amp;"" ""&amp;IFERROR(TRIM(INDEX(SPLIT(C457,""-""),2)),C457)"),"EAC Hasanudin")</f>
        <v>EAC Hasanudin</v>
      </c>
      <c r="G457" s="3" t="str">
        <f>IFERROR(__xludf.DUMMYFUNCTION("TRIM(INDEX(SPLIT(C457,""-""),1))"),"Kediri")</f>
        <v>Kediri</v>
      </c>
      <c r="H457" s="3" t="str">
        <f>IFERROR(__xludf.DUMMYFUNCTION("TRIM(INDEX(SPLIT(C457,""-""),2))"),"Hasanudin")</f>
        <v>Hasanudin</v>
      </c>
      <c r="I457" s="3" t="str">
        <f>IFERROR(__xludf.DUMMYFUNCTION("IFERROR(
TEXTJOIN(CHAR(10),TRUE,
UNIQUE(
FILTER(
'ALL Data Intertest 22 Jul 26'!F:F,
'ALL Data Intertest 22 Jul 26'!B:B=B457,
'ALL Data Intertest 22 Jul 26'!C:C=H457
)
)
),
"""")"),"")</f>
        <v/>
      </c>
      <c r="J457" s="7">
        <v>-7.812211</v>
      </c>
      <c r="K457" s="7">
        <v>112.0185812</v>
      </c>
    </row>
    <row r="458">
      <c r="A458" s="3">
        <f t="shared" si="1"/>
        <v>457</v>
      </c>
      <c r="B458" s="4" t="s">
        <v>777</v>
      </c>
      <c r="C458" s="8" t="s">
        <v>79</v>
      </c>
      <c r="D458" s="6" t="s">
        <v>888</v>
      </c>
      <c r="E458" s="3"/>
      <c r="F458" s="3" t="str">
        <f>IFERROR(__xludf.DUMMYFUNCTION("SWITCH(
  TRUE,
  REGEXMATCH(B458,""Brain Academy""),""BAC"",
  REGEXMATCH(B458,""English Academy""),""EAC"",
  """"
)&amp;"" ""&amp;IFERROR(TRIM(INDEX(SPLIT(C458,""-""),2)),C458)"),"EAC Abdullah Silondae")</f>
        <v>EAC Abdullah Silondae</v>
      </c>
      <c r="G458" s="3" t="str">
        <f>IFERROR(__xludf.DUMMYFUNCTION("TRIM(INDEX(SPLIT(C458,""-""),1))"),"Kendari")</f>
        <v>Kendari</v>
      </c>
      <c r="H458" s="3" t="str">
        <f>IFERROR(__xludf.DUMMYFUNCTION("TRIM(INDEX(SPLIT(C458,""-""),2))"),"Abdullah Silondae")</f>
        <v>Abdullah Silondae</v>
      </c>
      <c r="I458" s="3" t="str">
        <f>IFERROR(__xludf.DUMMYFUNCTION("IFERROR(
TEXTJOIN(CHAR(10),TRUE,
UNIQUE(
FILTER(
'ALL Data Intertest 22 Jul 26'!F:F,
'ALL Data Intertest 22 Jul 26'!B:B=B458,
'ALL Data Intertest 22 Jul 26'!C:C=H458
)
)
),
"""")"),"")</f>
        <v/>
      </c>
      <c r="J458" s="7">
        <v>-3.9676642</v>
      </c>
      <c r="K458" s="7">
        <v>122.5172832</v>
      </c>
    </row>
    <row r="459">
      <c r="A459" s="3">
        <f t="shared" si="1"/>
        <v>458</v>
      </c>
      <c r="B459" s="4" t="s">
        <v>777</v>
      </c>
      <c r="C459" s="8" t="s">
        <v>622</v>
      </c>
      <c r="D459" s="6" t="s">
        <v>889</v>
      </c>
      <c r="E459" s="3"/>
      <c r="F459" s="3" t="str">
        <f>IFERROR(__xludf.DUMMYFUNCTION("SWITCH(
  TRUE,
  REGEXMATCH(B459,""Brain Academy""),""BAC"",
  REGEXMATCH(B459,""English Academy""),""EAC"",
  """"
)&amp;"" ""&amp;IFERROR(TRIM(INDEX(SPLIT(C459,""-""),2)),C459)"),"EAC R. Suprapto")</f>
        <v>EAC R. Suprapto</v>
      </c>
      <c r="G459" s="3" t="str">
        <f>IFERROR(__xludf.DUMMYFUNCTION("TRIM(INDEX(SPLIT(C459,""-""),1))"),"Ketapang")</f>
        <v>Ketapang</v>
      </c>
      <c r="H459" s="3" t="str">
        <f>IFERROR(__xludf.DUMMYFUNCTION("TRIM(INDEX(SPLIT(C459,""-""),2))"),"R. Suprapto")</f>
        <v>R. Suprapto</v>
      </c>
      <c r="I459" s="3" t="str">
        <f>IFERROR(__xludf.DUMMYFUNCTION("IFERROR(
TEXTJOIN(CHAR(10),TRUE,
UNIQUE(
FILTER(
'ALL Data Intertest 22 Jul 26'!F:F,
'ALL Data Intertest 22 Jul 26'!B:B=B459,
'ALL Data Intertest 22 Jul 26'!C:C=H459
)
)
),
"""")"),"")</f>
        <v/>
      </c>
      <c r="J459" s="7">
        <v>-1.8427601</v>
      </c>
      <c r="K459" s="7">
        <v>109.9688669</v>
      </c>
    </row>
    <row r="460">
      <c r="A460" s="3">
        <f t="shared" si="1"/>
        <v>459</v>
      </c>
      <c r="B460" s="4" t="s">
        <v>777</v>
      </c>
      <c r="C460" s="8" t="s">
        <v>294</v>
      </c>
      <c r="D460" s="6" t="s">
        <v>890</v>
      </c>
      <c r="E460" s="3"/>
      <c r="F460" s="3" t="str">
        <f>IFERROR(__xludf.DUMMYFUNCTION("SWITCH(
  TRUE,
  REGEXMATCH(B460,""Brain Academy""),""BAC"",
  REGEXMATCH(B460,""English Academy""),""EAC"",
  """"
)&amp;"" ""&amp;IFERROR(TRIM(INDEX(SPLIT(C460,""-""),2)),C460)"),"EAC Dr. Wahidin")</f>
        <v>EAC Dr. Wahidin</v>
      </c>
      <c r="G460" s="3" t="str">
        <f>IFERROR(__xludf.DUMMYFUNCTION("TRIM(INDEX(SPLIT(C460,""-""),1))"),"Kisaran")</f>
        <v>Kisaran</v>
      </c>
      <c r="H460" s="3" t="str">
        <f>IFERROR(__xludf.DUMMYFUNCTION("TRIM(INDEX(SPLIT(C460,""-""),2))"),"Dr. Wahidin")</f>
        <v>Dr. Wahidin</v>
      </c>
      <c r="I460" s="3" t="str">
        <f>IFERROR(__xludf.DUMMYFUNCTION("IFERROR(
TEXTJOIN(CHAR(10),TRUE,
UNIQUE(
FILTER(
'ALL Data Intertest 22 Jul 26'!F:F,
'ALL Data Intertest 22 Jul 26'!B:B=B460,
'ALL Data Intertest 22 Jul 26'!C:C=H460
)
)
),
"""")"),"")</f>
        <v/>
      </c>
      <c r="J460" s="7">
        <v>2.9826958</v>
      </c>
      <c r="K460" s="7">
        <v>99.6218651</v>
      </c>
    </row>
    <row r="461">
      <c r="A461" s="3">
        <f t="shared" si="1"/>
        <v>460</v>
      </c>
      <c r="B461" s="4" t="s">
        <v>777</v>
      </c>
      <c r="C461" s="8" t="s">
        <v>50</v>
      </c>
      <c r="D461" s="6" t="s">
        <v>51</v>
      </c>
      <c r="E461" s="3"/>
      <c r="F461" s="3" t="str">
        <f>IFERROR(__xludf.DUMMYFUNCTION("SWITCH(
  TRUE,
  REGEXMATCH(B461,""Brain Academy""),""BAC"",
  REGEXMATCH(B461,""English Academy""),""EAC"",
  """"
)&amp;"" ""&amp;IFERROR(TRIM(INDEX(SPLIT(C461,""-""),2)),C461)"),"EAC Merbabu")</f>
        <v>EAC Merbabu</v>
      </c>
      <c r="G461" s="3" t="str">
        <f>IFERROR(__xludf.DUMMYFUNCTION("TRIM(INDEX(SPLIT(C461,""-""),1))"),"Klaten")</f>
        <v>Klaten</v>
      </c>
      <c r="H461" s="3" t="str">
        <f>IFERROR(__xludf.DUMMYFUNCTION("TRIM(INDEX(SPLIT(C461,""-""),2))"),"Merbabu")</f>
        <v>Merbabu</v>
      </c>
      <c r="I461" s="3" t="str">
        <f>IFERROR(__xludf.DUMMYFUNCTION("IFERROR(
TEXTJOIN(CHAR(10),TRUE,
UNIQUE(
FILTER(
'ALL Data Intertest 22 Jul 26'!F:F,
'ALL Data Intertest 22 Jul 26'!B:B=B461,
'ALL Data Intertest 22 Jul 26'!C:C=H461
)
)
),
"""")"),"")</f>
        <v/>
      </c>
      <c r="J461" s="7">
        <v>-7.706515</v>
      </c>
      <c r="K461" s="7">
        <v>110.597301</v>
      </c>
    </row>
    <row r="462">
      <c r="A462" s="3">
        <f t="shared" si="1"/>
        <v>461</v>
      </c>
      <c r="B462" s="4" t="s">
        <v>777</v>
      </c>
      <c r="C462" s="8" t="s">
        <v>612</v>
      </c>
      <c r="D462" s="6" t="s">
        <v>891</v>
      </c>
      <c r="E462" s="3"/>
      <c r="F462" s="3" t="str">
        <f>IFERROR(__xludf.DUMMYFUNCTION("SWITCH(
  TRUE,
  REGEXMATCH(B462,""Brain Academy""),""BAC"",
  REGEXMATCH(B462,""English Academy""),""EAC"",
  """"
)&amp;"" ""&amp;IFERROR(TRIM(INDEX(SPLIT(C462,""-""),2)),C462)"),"EAC Pramuka")</f>
        <v>EAC Pramuka</v>
      </c>
      <c r="G462" s="3" t="str">
        <f>IFERROR(__xludf.DUMMYFUNCTION("TRIM(INDEX(SPLIT(C462,""-""),1))"),"Kolaka")</f>
        <v>Kolaka</v>
      </c>
      <c r="H462" s="3" t="str">
        <f>IFERROR(__xludf.DUMMYFUNCTION("TRIM(INDEX(SPLIT(C462,""-""),2))"),"Pramuka")</f>
        <v>Pramuka</v>
      </c>
      <c r="I462" s="3" t="str">
        <f>IFERROR(__xludf.DUMMYFUNCTION("IFERROR(
TEXTJOIN(CHAR(10),TRUE,
UNIQUE(
FILTER(
'ALL Data Intertest 22 Jul 26'!F:F,
'ALL Data Intertest 22 Jul 26'!B:B=B462,
'ALL Data Intertest 22 Jul 26'!C:C=H462
)
)
),
"""")"),"")</f>
        <v/>
      </c>
      <c r="J462" s="7">
        <v>-4.0566877</v>
      </c>
      <c r="K462" s="7">
        <v>121.598839</v>
      </c>
    </row>
    <row r="463">
      <c r="A463" s="3">
        <f t="shared" si="1"/>
        <v>462</v>
      </c>
      <c r="B463" s="4" t="s">
        <v>777</v>
      </c>
      <c r="C463" s="8" t="s">
        <v>658</v>
      </c>
      <c r="D463" s="6" t="s">
        <v>892</v>
      </c>
      <c r="E463" s="3"/>
      <c r="F463" s="3" t="str">
        <f>IFERROR(__xludf.DUMMYFUNCTION("SWITCH(
  TRUE,
  REGEXMATCH(B463,""Brain Academy""),""BAC"",
  REGEXMATCH(B463,""English Academy""),""EAC"",
  """"
)&amp;"" ""&amp;IFERROR(TRIM(INDEX(SPLIT(C463,""-""),2)),C463)"),"EAC Dersalam")</f>
        <v>EAC Dersalam</v>
      </c>
      <c r="G463" s="3" t="str">
        <f>IFERROR(__xludf.DUMMYFUNCTION("TRIM(INDEX(SPLIT(C463,""-""),1))"),"Kudus")</f>
        <v>Kudus</v>
      </c>
      <c r="H463" s="3" t="str">
        <f>IFERROR(__xludf.DUMMYFUNCTION("TRIM(INDEX(SPLIT(C463,""-""),2))"),"Dersalam")</f>
        <v>Dersalam</v>
      </c>
      <c r="I463" s="3" t="str">
        <f>IFERROR(__xludf.DUMMYFUNCTION("IFERROR(
TEXTJOIN(CHAR(10),TRUE,
UNIQUE(
FILTER(
'ALL Data Intertest 22 Jul 26'!F:F,
'ALL Data Intertest 22 Jul 26'!B:B=B463,
'ALL Data Intertest 22 Jul 26'!C:C=H463
)
)
),
"""")"),"")</f>
        <v/>
      </c>
      <c r="J463" s="7">
        <v>-6.8040314</v>
      </c>
      <c r="K463" s="7">
        <v>110.8673675</v>
      </c>
    </row>
    <row r="464">
      <c r="A464" s="3">
        <f t="shared" si="1"/>
        <v>463</v>
      </c>
      <c r="B464" s="4" t="s">
        <v>777</v>
      </c>
      <c r="C464" s="8" t="s">
        <v>584</v>
      </c>
      <c r="D464" s="6" t="s">
        <v>893</v>
      </c>
      <c r="E464" s="3"/>
      <c r="F464" s="3" t="str">
        <f>IFERROR(__xludf.DUMMYFUNCTION("SWITCH(
  TRUE,
  REGEXMATCH(B464,""Brain Academy""),""BAC"",
  REGEXMATCH(B464,""English Academy""),""EAC"",
  """"
)&amp;"" ""&amp;IFERROR(TRIM(INDEX(SPLIT(C464,""-""),2)),C464)"),"EAC Frans Seda")</f>
        <v>EAC Frans Seda</v>
      </c>
      <c r="G464" s="3" t="str">
        <f>IFERROR(__xludf.DUMMYFUNCTION("TRIM(INDEX(SPLIT(C464,""-""),1))"),"Kupang")</f>
        <v>Kupang</v>
      </c>
      <c r="H464" s="3" t="str">
        <f>IFERROR(__xludf.DUMMYFUNCTION("TRIM(INDEX(SPLIT(C464,""-""),2))"),"Frans Seda")</f>
        <v>Frans Seda</v>
      </c>
      <c r="I464" s="3" t="str">
        <f>IFERROR(__xludf.DUMMYFUNCTION("IFERROR(
TEXTJOIN(CHAR(10),TRUE,
UNIQUE(
FILTER(
'ALL Data Intertest 22 Jul 26'!F:F,
'ALL Data Intertest 22 Jul 26'!B:B=B464,
'ALL Data Intertest 22 Jul 26'!C:C=H464
)
)
),
"""")"),"")</f>
        <v/>
      </c>
      <c r="J464" s="7">
        <v>-10.1674067</v>
      </c>
      <c r="K464" s="7">
        <v>123.6091319</v>
      </c>
    </row>
    <row r="465">
      <c r="A465" s="3">
        <f t="shared" si="1"/>
        <v>464</v>
      </c>
      <c r="B465" s="4" t="s">
        <v>777</v>
      </c>
      <c r="C465" s="8" t="s">
        <v>698</v>
      </c>
      <c r="D465" s="6" t="s">
        <v>894</v>
      </c>
      <c r="E465" s="3"/>
      <c r="F465" s="3" t="str">
        <f>IFERROR(__xludf.DUMMYFUNCTION("SWITCH(
  TRUE,
  REGEXMATCH(B465,""Brain Academy""),""BAC"",
  REGEXMATCH(B465,""English Academy""),""EAC"",
  """"
)&amp;"" ""&amp;IFERROR(TRIM(INDEX(SPLIT(C465,""-""),2)),C465)"),"EAC Stabat")</f>
        <v>EAC Stabat</v>
      </c>
      <c r="G465" s="3" t="str">
        <f>IFERROR(__xludf.DUMMYFUNCTION("TRIM(INDEX(SPLIT(C465,""-""),1))"),"Langkat")</f>
        <v>Langkat</v>
      </c>
      <c r="H465" s="3" t="str">
        <f>IFERROR(__xludf.DUMMYFUNCTION("TRIM(INDEX(SPLIT(C465,""-""),2))"),"Stabat")</f>
        <v>Stabat</v>
      </c>
      <c r="I465" s="3" t="str">
        <f>IFERROR(__xludf.DUMMYFUNCTION("IFERROR(
TEXTJOIN(CHAR(10),TRUE,
UNIQUE(
FILTER(
'ALL Data Intertest 22 Jul 26'!F:F,
'ALL Data Intertest 22 Jul 26'!B:B=B465,
'ALL Data Intertest 22 Jul 26'!C:C=H465
)
)
),
"""")"),"")</f>
        <v/>
      </c>
      <c r="J465" s="7">
        <v>3.7329384</v>
      </c>
      <c r="K465" s="7">
        <v>98.4340269</v>
      </c>
    </row>
    <row r="466">
      <c r="A466" s="3">
        <f t="shared" si="1"/>
        <v>465</v>
      </c>
      <c r="B466" s="4" t="s">
        <v>777</v>
      </c>
      <c r="C466" s="8" t="s">
        <v>181</v>
      </c>
      <c r="D466" s="6" t="s">
        <v>182</v>
      </c>
      <c r="E466" s="3"/>
      <c r="F466" s="3" t="str">
        <f>IFERROR(__xludf.DUMMYFUNCTION("SWITCH(
  TRUE,
  REGEXMATCH(B466,""Brain Academy""),""BAC"",
  REGEXMATCH(B466,""English Academy""),""EAC"",
  """"
)&amp;"" ""&amp;IFERROR(TRIM(INDEX(SPLIT(C466,""-""),2)),C466)"),"EAC Sutomo")</f>
        <v>EAC Sutomo</v>
      </c>
      <c r="G466" s="3" t="str">
        <f>IFERROR(__xludf.DUMMYFUNCTION("TRIM(INDEX(SPLIT(C466,""-""),1))"),"Madiun")</f>
        <v>Madiun</v>
      </c>
      <c r="H466" s="3" t="str">
        <f>IFERROR(__xludf.DUMMYFUNCTION("TRIM(INDEX(SPLIT(C466,""-""),2))"),"Sutomo")</f>
        <v>Sutomo</v>
      </c>
      <c r="I466" s="3" t="str">
        <f>IFERROR(__xludf.DUMMYFUNCTION("IFERROR(
TEXTJOIN(CHAR(10),TRUE,
UNIQUE(
FILTER(
'ALL Data Intertest 22 Jul 26'!F:F,
'ALL Data Intertest 22 Jul 26'!B:B=B466,
'ALL Data Intertest 22 Jul 26'!C:C=H466
)
)
),
"""")"),"")</f>
        <v/>
      </c>
      <c r="J466" s="7">
        <v>-7.6202388</v>
      </c>
      <c r="K466" s="7">
        <v>111.5245248</v>
      </c>
    </row>
    <row r="467">
      <c r="A467" s="3">
        <f t="shared" si="1"/>
        <v>466</v>
      </c>
      <c r="B467" s="4" t="s">
        <v>777</v>
      </c>
      <c r="C467" s="8" t="s">
        <v>302</v>
      </c>
      <c r="D467" s="6" t="s">
        <v>895</v>
      </c>
      <c r="E467" s="3"/>
      <c r="F467" s="3" t="str">
        <f>IFERROR(__xludf.DUMMYFUNCTION("SWITCH(
  TRUE,
  REGEXMATCH(B467,""Brain Academy""),""BAC"",
  REGEXMATCH(B467,""English Academy""),""EAC"",
  """"
)&amp;"" ""&amp;IFERROR(TRIM(INDEX(SPLIT(C467,""-""),2)),C467)"),"EAC Diponegoro")</f>
        <v>EAC Diponegoro</v>
      </c>
      <c r="G467" s="3" t="str">
        <f>IFERROR(__xludf.DUMMYFUNCTION("TRIM(INDEX(SPLIT(C467,""-""),1))"),"Magelang")</f>
        <v>Magelang</v>
      </c>
      <c r="H467" s="3" t="str">
        <f>IFERROR(__xludf.DUMMYFUNCTION("TRIM(INDEX(SPLIT(C467,""-""),2))"),"Diponegoro")</f>
        <v>Diponegoro</v>
      </c>
      <c r="I467" s="3" t="str">
        <f>IFERROR(__xludf.DUMMYFUNCTION("IFERROR(
TEXTJOIN(CHAR(10),TRUE,
UNIQUE(
FILTER(
'ALL Data Intertest 22 Jul 26'!F:F,
'ALL Data Intertest 22 Jul 26'!B:B=B467,
'ALL Data Intertest 22 Jul 26'!C:C=H467
)
)
),
"""")"),"")</f>
        <v/>
      </c>
      <c r="J467" s="7">
        <v>-7.481417899999999</v>
      </c>
      <c r="K467" s="7">
        <v>110.2141775</v>
      </c>
    </row>
    <row r="468">
      <c r="A468" s="3">
        <f t="shared" si="1"/>
        <v>467</v>
      </c>
      <c r="B468" s="4" t="s">
        <v>777</v>
      </c>
      <c r="C468" s="8" t="s">
        <v>696</v>
      </c>
      <c r="D468" s="6" t="s">
        <v>896</v>
      </c>
      <c r="E468" s="3"/>
      <c r="F468" s="3" t="str">
        <f>IFERROR(__xludf.DUMMYFUNCTION("SWITCH(
  TRUE,
  REGEXMATCH(B468,""Brain Academy""),""BAC"",
  REGEXMATCH(B468,""English Academy""),""EAC"",
  """"
)&amp;"" ""&amp;IFERROR(TRIM(INDEX(SPLIT(C468,""-""),2)),C468)"),"EAC Muntilan")</f>
        <v>EAC Muntilan</v>
      </c>
      <c r="G468" s="3" t="str">
        <f>IFERROR(__xludf.DUMMYFUNCTION("TRIM(INDEX(SPLIT(C468,""-""),1))"),"Magelang")</f>
        <v>Magelang</v>
      </c>
      <c r="H468" s="3" t="str">
        <f>IFERROR(__xludf.DUMMYFUNCTION("TRIM(INDEX(SPLIT(C468,""-""),2))"),"Muntilan")</f>
        <v>Muntilan</v>
      </c>
      <c r="I468" s="3" t="str">
        <f>IFERROR(__xludf.DUMMYFUNCTION("IFERROR(
TEXTJOIN(CHAR(10),TRUE,
UNIQUE(
FILTER(
'ALL Data Intertest 22 Jul 26'!F:F,
'ALL Data Intertest 22 Jul 26'!B:B=B468,
'ALL Data Intertest 22 Jul 26'!C:C=H468
)
)
),
"""")"),"")</f>
        <v/>
      </c>
      <c r="J468" s="7">
        <v>-7.580210099999999</v>
      </c>
      <c r="K468" s="7">
        <v>110.2853946</v>
      </c>
    </row>
    <row r="469">
      <c r="A469" s="3">
        <f t="shared" si="1"/>
        <v>468</v>
      </c>
      <c r="B469" s="4" t="s">
        <v>777</v>
      </c>
      <c r="C469" s="8" t="s">
        <v>456</v>
      </c>
      <c r="D469" s="6" t="s">
        <v>897</v>
      </c>
      <c r="E469" s="3"/>
      <c r="F469" s="3" t="str">
        <f>IFERROR(__xludf.DUMMYFUNCTION("SWITCH(
  TRUE,
  REGEXMATCH(B469,""Brain Academy""),""BAC"",
  REGEXMATCH(B469,""English Academy""),""EAC"",
  """"
)&amp;"" ""&amp;IFERROR(TRIM(INDEX(SPLIT(C469,""-""),2)),C469)"),"EAC Baruga")</f>
        <v>EAC Baruga</v>
      </c>
      <c r="G469" s="3" t="str">
        <f>IFERROR(__xludf.DUMMYFUNCTION("TRIM(INDEX(SPLIT(C469,""-""),1))"),"Makassar")</f>
        <v>Makassar</v>
      </c>
      <c r="H469" s="3" t="str">
        <f>IFERROR(__xludf.DUMMYFUNCTION("TRIM(INDEX(SPLIT(C469,""-""),2))"),"Baruga")</f>
        <v>Baruga</v>
      </c>
      <c r="I469" s="3" t="str">
        <f>IFERROR(__xludf.DUMMYFUNCTION("IFERROR(
TEXTJOIN(CHAR(10),TRUE,
UNIQUE(
FILTER(
'ALL Data Intertest 22 Jul 26'!F:F,
'ALL Data Intertest 22 Jul 26'!B:B=B469,
'ALL Data Intertest 22 Jul 26'!C:C=H469
)
)
),
"""")"),"")</f>
        <v/>
      </c>
      <c r="J469" s="7">
        <v>-5.1561095</v>
      </c>
      <c r="K469" s="7">
        <v>119.4887087</v>
      </c>
    </row>
    <row r="470">
      <c r="A470" s="3">
        <f t="shared" si="1"/>
        <v>469</v>
      </c>
      <c r="B470" s="4" t="s">
        <v>777</v>
      </c>
      <c r="C470" s="8" t="s">
        <v>147</v>
      </c>
      <c r="D470" s="6" t="s">
        <v>898</v>
      </c>
      <c r="E470" s="3"/>
      <c r="F470" s="3" t="str">
        <f>IFERROR(__xludf.DUMMYFUNCTION("SWITCH(
  TRUE,
  REGEXMATCH(B470,""Brain Academy""),""BAC"",
  REGEXMATCH(B470,""English Academy""),""EAC"",
  """"
)&amp;"" ""&amp;IFERROR(TRIM(INDEX(SPLIT(C470,""-""),2)),C470)"),"EAC Cendrawasih")</f>
        <v>EAC Cendrawasih</v>
      </c>
      <c r="G470" s="3" t="str">
        <f>IFERROR(__xludf.DUMMYFUNCTION("TRIM(INDEX(SPLIT(C470,""-""),1))"),"Makassar")</f>
        <v>Makassar</v>
      </c>
      <c r="H470" s="3" t="str">
        <f>IFERROR(__xludf.DUMMYFUNCTION("TRIM(INDEX(SPLIT(C470,""-""),2))"),"Cendrawasih")</f>
        <v>Cendrawasih</v>
      </c>
      <c r="I470" s="3" t="str">
        <f>IFERROR(__xludf.DUMMYFUNCTION("IFERROR(
TEXTJOIN(CHAR(10),TRUE,
UNIQUE(
FILTER(
'ALL Data Intertest 22 Jul 26'!F:F,
'ALL Data Intertest 22 Jul 26'!B:B=B470,
'ALL Data Intertest 22 Jul 26'!C:C=H470
)
)
),
"""")"),"")</f>
        <v/>
      </c>
      <c r="J470" s="7">
        <v>-5.149188</v>
      </c>
      <c r="K470" s="7">
        <v>119.4128771</v>
      </c>
    </row>
    <row r="471">
      <c r="A471" s="3">
        <f t="shared" si="1"/>
        <v>470</v>
      </c>
      <c r="B471" s="4" t="s">
        <v>777</v>
      </c>
      <c r="C471" s="8" t="s">
        <v>69</v>
      </c>
      <c r="D471" s="6" t="s">
        <v>899</v>
      </c>
      <c r="E471" s="3"/>
      <c r="F471" s="3" t="str">
        <f>IFERROR(__xludf.DUMMYFUNCTION("SWITCH(
  TRUE,
  REGEXMATCH(B471,""Brain Academy""),""BAC"",
  REGEXMATCH(B471,""English Academy""),""EAC"",
  """"
)&amp;"" ""&amp;IFERROR(TRIM(INDEX(SPLIT(C471,""-""),2)),C471)"),"EAC Hertasning")</f>
        <v>EAC Hertasning</v>
      </c>
      <c r="G471" s="3" t="str">
        <f>IFERROR(__xludf.DUMMYFUNCTION("TRIM(INDEX(SPLIT(C471,""-""),1))"),"Makassar")</f>
        <v>Makassar</v>
      </c>
      <c r="H471" s="3" t="str">
        <f>IFERROR(__xludf.DUMMYFUNCTION("TRIM(INDEX(SPLIT(C471,""-""),2))"),"Hertasning")</f>
        <v>Hertasning</v>
      </c>
      <c r="I471" s="3" t="str">
        <f>IFERROR(__xludf.DUMMYFUNCTION("IFERROR(
TEXTJOIN(CHAR(10),TRUE,
UNIQUE(
FILTER(
'ALL Data Intertest 22 Jul 26'!F:F,
'ALL Data Intertest 22 Jul 26'!B:B=B471,
'ALL Data Intertest 22 Jul 26'!C:C=H471
)
)
),
"""")"),"")</f>
        <v/>
      </c>
      <c r="J471" s="7">
        <v>-5.163132399999999</v>
      </c>
      <c r="K471" s="7">
        <v>119.4440945</v>
      </c>
    </row>
    <row r="472">
      <c r="A472" s="3">
        <f t="shared" si="1"/>
        <v>471</v>
      </c>
      <c r="B472" s="4" t="s">
        <v>777</v>
      </c>
      <c r="C472" s="8" t="s">
        <v>237</v>
      </c>
      <c r="D472" s="6" t="s">
        <v>900</v>
      </c>
      <c r="E472" s="3"/>
      <c r="F472" s="3" t="str">
        <f>IFERROR(__xludf.DUMMYFUNCTION("SWITCH(
  TRUE,
  REGEXMATCH(B472,""Brain Academy""),""BAC"",
  REGEXMATCH(B472,""English Academy""),""EAC"",
  """"
)&amp;"" ""&amp;IFERROR(TRIM(INDEX(SPLIT(C472,""-""),2)),C472)"),"EAC Sudiang")</f>
        <v>EAC Sudiang</v>
      </c>
      <c r="G472" s="3" t="str">
        <f>IFERROR(__xludf.DUMMYFUNCTION("TRIM(INDEX(SPLIT(C472,""-""),1))"),"Makassar")</f>
        <v>Makassar</v>
      </c>
      <c r="H472" s="3" t="str">
        <f>IFERROR(__xludf.DUMMYFUNCTION("TRIM(INDEX(SPLIT(C472,""-""),2))"),"Sudiang")</f>
        <v>Sudiang</v>
      </c>
      <c r="I472" s="3" t="str">
        <f>IFERROR(__xludf.DUMMYFUNCTION("IFERROR(
TEXTJOIN(CHAR(10),TRUE,
UNIQUE(
FILTER(
'ALL Data Intertest 22 Jul 26'!F:F,
'ALL Data Intertest 22 Jul 26'!B:B=B472,
'ALL Data Intertest 22 Jul 26'!C:C=H472
)
)
),
"""")"),"")</f>
        <v/>
      </c>
      <c r="J472" s="7">
        <v>-5.1036492</v>
      </c>
      <c r="K472" s="7">
        <v>119.510436</v>
      </c>
    </row>
    <row r="473">
      <c r="A473" s="3">
        <f t="shared" si="1"/>
        <v>472</v>
      </c>
      <c r="B473" s="4" t="s">
        <v>777</v>
      </c>
      <c r="C473" s="8" t="s">
        <v>901</v>
      </c>
      <c r="D473" s="6" t="s">
        <v>902</v>
      </c>
      <c r="E473" s="3"/>
      <c r="F473" s="3" t="str">
        <f>IFERROR(__xludf.DUMMYFUNCTION("SWITCH(
  TRUE,
  REGEXMATCH(B473,""Brain Academy""),""BAC"",
  REGEXMATCH(B473,""English Academy""),""EAC"",
  """"
)&amp;"" ""&amp;IFERROR(TRIM(INDEX(SPLIT(C473,""-""),2)),C473)"),"EAC Dieng")</f>
        <v>EAC Dieng</v>
      </c>
      <c r="G473" s="3" t="str">
        <f>IFERROR(__xludf.DUMMYFUNCTION("TRIM(INDEX(SPLIT(C473,""-""),1))"),"Malang")</f>
        <v>Malang</v>
      </c>
      <c r="H473" s="3" t="str">
        <f>IFERROR(__xludf.DUMMYFUNCTION("TRIM(INDEX(SPLIT(C473,""-""),2))"),"Dieng")</f>
        <v>Dieng</v>
      </c>
      <c r="I473" s="3" t="str">
        <f>IFERROR(__xludf.DUMMYFUNCTION("IFERROR(
TEXTJOIN(CHAR(10),TRUE,
UNIQUE(
FILTER(
'ALL Data Intertest 22 Jul 26'!F:F,
'ALL Data Intertest 22 Jul 26'!B:B=B473,
'ALL Data Intertest 22 Jul 26'!C:C=H473
)
)
),
"""")"),"")</f>
        <v/>
      </c>
      <c r="J473" s="7">
        <v>-7.973722</v>
      </c>
      <c r="K473" s="7">
        <v>112.6152583</v>
      </c>
    </row>
    <row r="474">
      <c r="A474" s="3">
        <f t="shared" si="1"/>
        <v>473</v>
      </c>
      <c r="B474" s="4" t="s">
        <v>777</v>
      </c>
      <c r="C474" s="8" t="s">
        <v>142</v>
      </c>
      <c r="D474" s="6" t="s">
        <v>903</v>
      </c>
      <c r="E474" s="3"/>
      <c r="F474" s="3" t="str">
        <f>IFERROR(__xludf.DUMMYFUNCTION("SWITCH(
  TRUE,
  REGEXMATCH(B474,""Brain Academy""),""BAC"",
  REGEXMATCH(B474,""English Academy""),""EAC"",
  """"
)&amp;"" ""&amp;IFERROR(TRIM(INDEX(SPLIT(C474,""-""),2)),C474)"),"EAC Klojen")</f>
        <v>EAC Klojen</v>
      </c>
      <c r="G474" s="3" t="str">
        <f>IFERROR(__xludf.DUMMYFUNCTION("TRIM(INDEX(SPLIT(C474,""-""),1))"),"Malang")</f>
        <v>Malang</v>
      </c>
      <c r="H474" s="3" t="str">
        <f>IFERROR(__xludf.DUMMYFUNCTION("TRIM(INDEX(SPLIT(C474,""-""),2))"),"Klojen")</f>
        <v>Klojen</v>
      </c>
      <c r="I474" s="3" t="str">
        <f>IFERROR(__xludf.DUMMYFUNCTION("IFERROR(
TEXTJOIN(CHAR(10),TRUE,
UNIQUE(
FILTER(
'ALL Data Intertest 22 Jul 26'!F:F,
'ALL Data Intertest 22 Jul 26'!B:B=B474,
'ALL Data Intertest 22 Jul 26'!C:C=H474
)
)
),
"""")"),"")</f>
        <v/>
      </c>
      <c r="J474" s="7">
        <v>-7.9615556</v>
      </c>
      <c r="K474" s="7">
        <v>112.6242493</v>
      </c>
    </row>
    <row r="475">
      <c r="A475" s="3">
        <f t="shared" si="1"/>
        <v>474</v>
      </c>
      <c r="B475" s="4" t="s">
        <v>777</v>
      </c>
      <c r="C475" s="8" t="s">
        <v>441</v>
      </c>
      <c r="D475" s="6" t="s">
        <v>904</v>
      </c>
      <c r="E475" s="3"/>
      <c r="F475" s="3" t="str">
        <f>IFERROR(__xludf.DUMMYFUNCTION("SWITCH(
  TRUE,
  REGEXMATCH(B475,""Brain Academy""),""BAC"",
  REGEXMATCH(B475,""English Academy""),""EAC"",
  """"
)&amp;"" ""&amp;IFERROR(TRIM(INDEX(SPLIT(C475,""-""),2)),C475)"),"EAC Sultan Hasanuddin")</f>
        <v>EAC Sultan Hasanuddin</v>
      </c>
      <c r="G475" s="3" t="str">
        <f>IFERROR(__xludf.DUMMYFUNCTION("TRIM(INDEX(SPLIT(C475,""-""),1))"),"Mamuju")</f>
        <v>Mamuju</v>
      </c>
      <c r="H475" s="3" t="str">
        <f>IFERROR(__xludf.DUMMYFUNCTION("TRIM(INDEX(SPLIT(C475,""-""),2))"),"Sultan Hasanuddin")</f>
        <v>Sultan Hasanuddin</v>
      </c>
      <c r="I475" s="3" t="str">
        <f>IFERROR(__xludf.DUMMYFUNCTION("IFERROR(
TEXTJOIN(CHAR(10),TRUE,
UNIQUE(
FILTER(
'ALL Data Intertest 22 Jul 26'!F:F,
'ALL Data Intertest 22 Jul 26'!B:B=B475,
'ALL Data Intertest 22 Jul 26'!C:C=H475
)
)
),
"""")"),"")</f>
        <v/>
      </c>
      <c r="J475" s="7">
        <v>-2.675473</v>
      </c>
      <c r="K475" s="7">
        <v>118.8939217</v>
      </c>
    </row>
    <row r="476">
      <c r="A476" s="3">
        <f t="shared" si="1"/>
        <v>475</v>
      </c>
      <c r="B476" s="4" t="s">
        <v>777</v>
      </c>
      <c r="C476" s="8" t="s">
        <v>163</v>
      </c>
      <c r="D476" s="6" t="s">
        <v>905</v>
      </c>
      <c r="E476" s="3"/>
      <c r="F476" s="3" t="str">
        <f>IFERROR(__xludf.DUMMYFUNCTION("SWITCH(
  TRUE,
  REGEXMATCH(B476,""Brain Academy""),""BAC"",
  REGEXMATCH(B476,""English Academy""),""EAC"",
  """"
)&amp;"" ""&amp;IFERROR(TRIM(INDEX(SPLIT(C476,""-""),2)),C476)"),"EAC Wenang Selatan")</f>
        <v>EAC Wenang Selatan</v>
      </c>
      <c r="G476" s="3" t="str">
        <f>IFERROR(__xludf.DUMMYFUNCTION("TRIM(INDEX(SPLIT(C476,""-""),1))"),"Manado")</f>
        <v>Manado</v>
      </c>
      <c r="H476" s="3" t="str">
        <f>IFERROR(__xludf.DUMMYFUNCTION("TRIM(INDEX(SPLIT(C476,""-""),2))"),"Wenang Selatan")</f>
        <v>Wenang Selatan</v>
      </c>
      <c r="I476" s="3" t="str">
        <f>IFERROR(__xludf.DUMMYFUNCTION("IFERROR(
TEXTJOIN(CHAR(10),TRUE,
UNIQUE(
FILTER(
'ALL Data Intertest 22 Jul 26'!F:F,
'ALL Data Intertest 22 Jul 26'!B:B=B476,
'ALL Data Intertest 22 Jul 26'!C:C=H476
)
)
),
"""")"),"")</f>
        <v/>
      </c>
      <c r="J476" s="7">
        <v>1.481366</v>
      </c>
      <c r="K476" s="7">
        <v>124.8365651</v>
      </c>
    </row>
    <row r="477">
      <c r="A477" s="3">
        <f t="shared" si="1"/>
        <v>476</v>
      </c>
      <c r="B477" s="4" t="s">
        <v>777</v>
      </c>
      <c r="C477" s="8" t="s">
        <v>204</v>
      </c>
      <c r="D477" s="6" t="s">
        <v>906</v>
      </c>
      <c r="E477" s="3"/>
      <c r="F477" s="3" t="str">
        <f>IFERROR(__xludf.DUMMYFUNCTION("SWITCH(
  TRUE,
  REGEXMATCH(B477,""Brain Academy""),""BAC"",
  REGEXMATCH(B477,""English Academy""),""EAC"",
  """"
)&amp;"" ""&amp;IFERROR(TRIM(INDEX(SPLIT(C477,""-""),2)),C477)"),"EAC Pendidikan")</f>
        <v>EAC Pendidikan</v>
      </c>
      <c r="G477" s="3" t="str">
        <f>IFERROR(__xludf.DUMMYFUNCTION("TRIM(INDEX(SPLIT(C477,""-""),1))"),"Mataram")</f>
        <v>Mataram</v>
      </c>
      <c r="H477" s="3" t="str">
        <f>IFERROR(__xludf.DUMMYFUNCTION("TRIM(INDEX(SPLIT(C477,""-""),2))"),"Pendidikan")</f>
        <v>Pendidikan</v>
      </c>
      <c r="I477" s="3" t="str">
        <f>IFERROR(__xludf.DUMMYFUNCTION("IFERROR(
TEXTJOIN(CHAR(10),TRUE,
UNIQUE(
FILTER(
'ALL Data Intertest 22 Jul 26'!F:F,
'ALL Data Intertest 22 Jul 26'!B:B=B477,
'ALL Data Intertest 22 Jul 26'!C:C=H477
)
)
),
"""")"),"")</f>
        <v/>
      </c>
      <c r="J477" s="7">
        <v>-8.5804508</v>
      </c>
      <c r="K477" s="7">
        <v>116.0900421</v>
      </c>
    </row>
    <row r="478">
      <c r="A478" s="3">
        <f t="shared" si="1"/>
        <v>477</v>
      </c>
      <c r="B478" s="4" t="s">
        <v>777</v>
      </c>
      <c r="C478" s="8" t="s">
        <v>907</v>
      </c>
      <c r="D478" s="6" t="s">
        <v>908</v>
      </c>
      <c r="E478" s="3"/>
      <c r="F478" s="3" t="str">
        <f>IFERROR(__xludf.DUMMYFUNCTION("SWITCH(
  TRUE,
  REGEXMATCH(B478,""Brain Academy""),""BAC"",
  REGEXMATCH(B478,""English Academy""),""EAC"",
  """"
)&amp;"" ""&amp;IFERROR(TRIM(INDEX(SPLIT(C478,""-""),2)),C478)"),"EAC Iskandar Muda")</f>
        <v>EAC Iskandar Muda</v>
      </c>
      <c r="G478" s="3" t="str">
        <f>IFERROR(__xludf.DUMMYFUNCTION("TRIM(INDEX(SPLIT(C478,""-""),1))"),"Medan")</f>
        <v>Medan</v>
      </c>
      <c r="H478" s="3" t="str">
        <f>IFERROR(__xludf.DUMMYFUNCTION("TRIM(INDEX(SPLIT(C478,""-""),2))"),"Iskandar Muda")</f>
        <v>Iskandar Muda</v>
      </c>
      <c r="I478" s="3" t="str">
        <f>IFERROR(__xludf.DUMMYFUNCTION("IFERROR(
TEXTJOIN(CHAR(10),TRUE,
UNIQUE(
FILTER(
'ALL Data Intertest 22 Jul 26'!F:F,
'ALL Data Intertest 22 Jul 26'!B:B=B478,
'ALL Data Intertest 22 Jul 26'!C:C=H478
)
)
),
"""")"),"")</f>
        <v/>
      </c>
      <c r="J478" s="7">
        <v>3.5753361</v>
      </c>
      <c r="K478" s="7">
        <v>98.6606303</v>
      </c>
    </row>
    <row r="479">
      <c r="A479" s="3">
        <f t="shared" si="1"/>
        <v>478</v>
      </c>
      <c r="B479" s="4" t="s">
        <v>777</v>
      </c>
      <c r="C479" s="8" t="s">
        <v>276</v>
      </c>
      <c r="D479" s="6" t="s">
        <v>909</v>
      </c>
      <c r="E479" s="3"/>
      <c r="F479" s="3" t="str">
        <f>IFERROR(__xludf.DUMMYFUNCTION("SWITCH(
  TRUE,
  REGEXMATCH(B479,""Brain Academy""),""BAC"",
  REGEXMATCH(B479,""English Academy""),""EAC"",
  """"
)&amp;"" ""&amp;IFERROR(TRIM(INDEX(SPLIT(C479,""-""),2)),C479)"),"EAC Johor")</f>
        <v>EAC Johor</v>
      </c>
      <c r="G479" s="3" t="str">
        <f>IFERROR(__xludf.DUMMYFUNCTION("TRIM(INDEX(SPLIT(C479,""-""),1))"),"Medan")</f>
        <v>Medan</v>
      </c>
      <c r="H479" s="3" t="str">
        <f>IFERROR(__xludf.DUMMYFUNCTION("TRIM(INDEX(SPLIT(C479,""-""),2))"),"Johor")</f>
        <v>Johor</v>
      </c>
      <c r="I479" s="3" t="str">
        <f>IFERROR(__xludf.DUMMYFUNCTION("IFERROR(
TEXTJOIN(CHAR(10),TRUE,
UNIQUE(
FILTER(
'ALL Data Intertest 22 Jul 26'!F:F,
'ALL Data Intertest 22 Jul 26'!B:B=B479,
'ALL Data Intertest 22 Jul 26'!C:C=H479
)
)
),
"""")"),"")</f>
        <v/>
      </c>
      <c r="J479" s="7">
        <v>3.5365359</v>
      </c>
      <c r="K479" s="7">
        <v>98.6593696</v>
      </c>
    </row>
    <row r="480">
      <c r="A480" s="3">
        <f t="shared" si="1"/>
        <v>479</v>
      </c>
      <c r="B480" s="4" t="s">
        <v>777</v>
      </c>
      <c r="C480" s="8" t="s">
        <v>384</v>
      </c>
      <c r="D480" s="6" t="s">
        <v>910</v>
      </c>
      <c r="E480" s="3"/>
      <c r="F480" s="3" t="str">
        <f>IFERROR(__xludf.DUMMYFUNCTION("SWITCH(
  TRUE,
  REGEXMATCH(B480,""Brain Academy""),""BAC"",
  REGEXMATCH(B480,""English Academy""),""EAC"",
  """"
)&amp;"" ""&amp;IFERROR(TRIM(INDEX(SPLIT(C480,""-""),2)),C480)"),"EAC Sudirman")</f>
        <v>EAC Sudirman</v>
      </c>
      <c r="G480" s="3" t="str">
        <f>IFERROR(__xludf.DUMMYFUNCTION("TRIM(INDEX(SPLIT(C480,""-""),1))"),"Metro")</f>
        <v>Metro</v>
      </c>
      <c r="H480" s="3" t="str">
        <f>IFERROR(__xludf.DUMMYFUNCTION("TRIM(INDEX(SPLIT(C480,""-""),2))"),"Sudirman")</f>
        <v>Sudirman</v>
      </c>
      <c r="I480" s="3" t="str">
        <f>IFERROR(__xludf.DUMMYFUNCTION("IFERROR(
TEXTJOIN(CHAR(10),TRUE,
UNIQUE(
FILTER(
'ALL Data Intertest 22 Jul 26'!F:F,
'ALL Data Intertest 22 Jul 26'!B:B=B480,
'ALL Data Intertest 22 Jul 26'!C:C=H480
)
)
),
"""")"),"")</f>
        <v/>
      </c>
      <c r="J480" s="7">
        <v>-5.1141878</v>
      </c>
      <c r="K480" s="7">
        <v>105.3024376</v>
      </c>
    </row>
    <row r="481">
      <c r="A481" s="3">
        <f t="shared" si="1"/>
        <v>480</v>
      </c>
      <c r="B481" s="4" t="s">
        <v>777</v>
      </c>
      <c r="C481" s="8" t="s">
        <v>542</v>
      </c>
      <c r="D481" s="6" t="s">
        <v>911</v>
      </c>
      <c r="E481" s="3"/>
      <c r="F481" s="3" t="str">
        <f>IFERROR(__xludf.DUMMYFUNCTION("SWITCH(
  TRUE,
  REGEXMATCH(B481,""Brain Academy""),""BAC"",
  REGEXMATCH(B481,""English Academy""),""EAC"",
  """"
)&amp;"" ""&amp;IFERROR(TRIM(INDEX(SPLIT(C481,""-""),2)),C481)"),"EAC Sudirman")</f>
        <v>EAC Sudirman</v>
      </c>
      <c r="G481" s="3" t="str">
        <f>IFERROR(__xludf.DUMMYFUNCTION("TRIM(INDEX(SPLIT(C481,""-""),1))"),"Muara Enim")</f>
        <v>Muara Enim</v>
      </c>
      <c r="H481" s="3" t="str">
        <f>IFERROR(__xludf.DUMMYFUNCTION("TRIM(INDEX(SPLIT(C481,""-""),2))"),"Sudirman")</f>
        <v>Sudirman</v>
      </c>
      <c r="I481" s="3" t="str">
        <f>IFERROR(__xludf.DUMMYFUNCTION("IFERROR(
TEXTJOIN(CHAR(10),TRUE,
UNIQUE(
FILTER(
'ALL Data Intertest 22 Jul 26'!F:F,
'ALL Data Intertest 22 Jul 26'!B:B=B481,
'ALL Data Intertest 22 Jul 26'!C:C=H481
)
)
),
"""")"),"")</f>
        <v/>
      </c>
      <c r="J481" s="7">
        <v>-3.656385</v>
      </c>
      <c r="K481" s="7">
        <v>103.7732639</v>
      </c>
    </row>
    <row r="482">
      <c r="A482" s="3">
        <f t="shared" si="1"/>
        <v>481</v>
      </c>
      <c r="B482" s="4" t="s">
        <v>777</v>
      </c>
      <c r="C482" s="8" t="s">
        <v>159</v>
      </c>
      <c r="D482" s="6" t="s">
        <v>912</v>
      </c>
      <c r="E482" s="3"/>
      <c r="F482" s="3" t="str">
        <f>IFERROR(__xludf.DUMMYFUNCTION("SWITCH(
  TRUE,
  REGEXMATCH(B482,""Brain Academy""),""BAC"",
  REGEXMATCH(B482,""English Academy""),""EAC"",
  """"
)&amp;"" ""&amp;IFERROR(TRIM(INDEX(SPLIT(C482,""-""),2)),C482)"),"EAC S. Parman")</f>
        <v>EAC S. Parman</v>
      </c>
      <c r="G482" s="3" t="str">
        <f>IFERROR(__xludf.DUMMYFUNCTION("TRIM(INDEX(SPLIT(C482,""-""),1))"),"Padang")</f>
        <v>Padang</v>
      </c>
      <c r="H482" s="3" t="str">
        <f>IFERROR(__xludf.DUMMYFUNCTION("TRIM(INDEX(SPLIT(C482,""-""),2))"),"S. Parman")</f>
        <v>S. Parman</v>
      </c>
      <c r="I482" s="3" t="str">
        <f>IFERROR(__xludf.DUMMYFUNCTION("IFERROR(
TEXTJOIN(CHAR(10),TRUE,
UNIQUE(
FILTER(
'ALL Data Intertest 22 Jul 26'!F:F,
'ALL Data Intertest 22 Jul 26'!B:B=B482,
'ALL Data Intertest 22 Jul 26'!C:C=H482
)
)
),
"""")"),"")</f>
        <v/>
      </c>
      <c r="J482" s="7">
        <v>-0.9154164</v>
      </c>
      <c r="K482" s="7">
        <v>100.3499964</v>
      </c>
    </row>
    <row r="483">
      <c r="A483" s="3">
        <f t="shared" si="1"/>
        <v>482</v>
      </c>
      <c r="B483" s="4" t="s">
        <v>777</v>
      </c>
      <c r="C483" s="8" t="s">
        <v>75</v>
      </c>
      <c r="D483" s="6" t="s">
        <v>913</v>
      </c>
      <c r="E483" s="3"/>
      <c r="F483" s="3" t="str">
        <f>IFERROR(__xludf.DUMMYFUNCTION("SWITCH(
  TRUE,
  REGEXMATCH(B483,""Brain Academy""),""BAC"",
  REGEXMATCH(B483,""English Academy""),""EAC"",
  """"
)&amp;"" ""&amp;IFERROR(TRIM(INDEX(SPLIT(C483,""-""),2)),C483)"),"EAC Tarandam")</f>
        <v>EAC Tarandam</v>
      </c>
      <c r="G483" s="3" t="str">
        <f>IFERROR(__xludf.DUMMYFUNCTION("TRIM(INDEX(SPLIT(C483,""-""),1))"),"Padang")</f>
        <v>Padang</v>
      </c>
      <c r="H483" s="3" t="str">
        <f>IFERROR(__xludf.DUMMYFUNCTION("TRIM(INDEX(SPLIT(C483,""-""),2))"),"Tarandam")</f>
        <v>Tarandam</v>
      </c>
      <c r="I483" s="3" t="str">
        <f>IFERROR(__xludf.DUMMYFUNCTION("IFERROR(
TEXTJOIN(CHAR(10),TRUE,
UNIQUE(
FILTER(
'ALL Data Intertest 22 Jul 26'!F:F,
'ALL Data Intertest 22 Jul 26'!B:B=B483,
'ALL Data Intertest 22 Jul 26'!C:C=H483
)
)
),
"""")"),"")</f>
        <v/>
      </c>
      <c r="J483" s="7">
        <v>-0.9510149</v>
      </c>
      <c r="K483" s="7">
        <v>100.3645969</v>
      </c>
    </row>
    <row r="484">
      <c r="A484" s="3">
        <f t="shared" si="1"/>
        <v>483</v>
      </c>
      <c r="B484" s="4" t="s">
        <v>777</v>
      </c>
      <c r="C484" s="8" t="s">
        <v>706</v>
      </c>
      <c r="D484" s="6" t="s">
        <v>914</v>
      </c>
      <c r="E484" s="3"/>
      <c r="F484" s="3" t="str">
        <f>IFERROR(__xludf.DUMMYFUNCTION("SWITCH(
  TRUE,
  REGEXMATCH(B484,""Brain Academy""),""BAC"",
  REGEXMATCH(B484,""English Academy""),""EAC"",
  """"
)&amp;"" ""&amp;IFERROR(TRIM(INDEX(SPLIT(C484,""-""),2)),C484)"),"EAC Pagaruyung")</f>
        <v>EAC Pagaruyung</v>
      </c>
      <c r="G484" s="3" t="str">
        <f>IFERROR(__xludf.DUMMYFUNCTION("TRIM(INDEX(SPLIT(C484,""-""),1))"),"Painan")</f>
        <v>Painan</v>
      </c>
      <c r="H484" s="3" t="str">
        <f>IFERROR(__xludf.DUMMYFUNCTION("TRIM(INDEX(SPLIT(C484,""-""),2))"),"Pagaruyung")</f>
        <v>Pagaruyung</v>
      </c>
      <c r="I484" s="3" t="str">
        <f>IFERROR(__xludf.DUMMYFUNCTION("IFERROR(
TEXTJOIN(CHAR(10),TRUE,
UNIQUE(
FILTER(
'ALL Data Intertest 22 Jul 26'!F:F,
'ALL Data Intertest 22 Jul 26'!B:B=B484,
'ALL Data Intertest 22 Jul 26'!C:C=H484
)
)
),
"""")"),"")</f>
        <v/>
      </c>
      <c r="J484" s="7">
        <v>-1.3438939</v>
      </c>
      <c r="K484" s="7">
        <v>100.5839963</v>
      </c>
    </row>
    <row r="485">
      <c r="A485" s="3">
        <f t="shared" si="1"/>
        <v>484</v>
      </c>
      <c r="B485" s="4" t="s">
        <v>777</v>
      </c>
      <c r="C485" s="8" t="s">
        <v>915</v>
      </c>
      <c r="D485" s="6" t="s">
        <v>916</v>
      </c>
      <c r="E485" s="3"/>
      <c r="F485" s="3" t="str">
        <f>IFERROR(__xludf.DUMMYFUNCTION("SWITCH(
  TRUE,
  REGEXMATCH(B485,""Brain Academy""),""BAC"",
  REGEXMATCH(B485,""English Academy""),""EAC"",
  """"
)&amp;"" ""&amp;IFERROR(TRIM(INDEX(SPLIT(C485,""-""),2)),C485)"),"EAC Ahmad Yani")</f>
        <v>EAC Ahmad Yani</v>
      </c>
      <c r="G485" s="3" t="str">
        <f>IFERROR(__xludf.DUMMYFUNCTION("TRIM(INDEX(SPLIT(C485,""-""),1))"),"Palangkaraya")</f>
        <v>Palangkaraya</v>
      </c>
      <c r="H485" s="3" t="str">
        <f>IFERROR(__xludf.DUMMYFUNCTION("TRIM(INDEX(SPLIT(C485,""-""),2))"),"Ahmad Yani")</f>
        <v>Ahmad Yani</v>
      </c>
      <c r="I485" s="3" t="str">
        <f>IFERROR(__xludf.DUMMYFUNCTION("IFERROR(
TEXTJOIN(CHAR(10),TRUE,
UNIQUE(
FILTER(
'ALL Data Intertest 22 Jul 26'!F:F,
'ALL Data Intertest 22 Jul 26'!B:B=B485,
'ALL Data Intertest 22 Jul 26'!C:C=H485
)
)
),
"""")"),"")</f>
        <v/>
      </c>
      <c r="J485" s="7">
        <v>-2.2077423</v>
      </c>
      <c r="K485" s="7">
        <v>113.9222694</v>
      </c>
    </row>
    <row r="486">
      <c r="A486" s="3">
        <f t="shared" si="1"/>
        <v>485</v>
      </c>
      <c r="B486" s="4" t="s">
        <v>777</v>
      </c>
      <c r="C486" s="8" t="s">
        <v>252</v>
      </c>
      <c r="D486" s="6" t="s">
        <v>917</v>
      </c>
      <c r="E486" s="3"/>
      <c r="F486" s="3" t="str">
        <f>IFERROR(__xludf.DUMMYFUNCTION("SWITCH(
  TRUE,
  REGEXMATCH(B486,""Brain Academy""),""BAC"",
  REGEXMATCH(B486,""English Academy""),""EAC"",
  """"
)&amp;"" ""&amp;IFERROR(TRIM(INDEX(SPLIT(C486,""-""),2)),C486)"),"EAC Kenten")</f>
        <v>EAC Kenten</v>
      </c>
      <c r="G486" s="3" t="str">
        <f>IFERROR(__xludf.DUMMYFUNCTION("TRIM(INDEX(SPLIT(C486,""-""),1))"),"Palembang")</f>
        <v>Palembang</v>
      </c>
      <c r="H486" s="3" t="str">
        <f>IFERROR(__xludf.DUMMYFUNCTION("TRIM(INDEX(SPLIT(C486,""-""),2))"),"Kenten")</f>
        <v>Kenten</v>
      </c>
      <c r="I486" s="3" t="str">
        <f>IFERROR(__xludf.DUMMYFUNCTION("IFERROR(
TEXTJOIN(CHAR(10),TRUE,
UNIQUE(
FILTER(
'ALL Data Intertest 22 Jul 26'!F:F,
'ALL Data Intertest 22 Jul 26'!B:B=B486,
'ALL Data Intertest 22 Jul 26'!C:C=H486
)
)
),
"""")"),"")</f>
        <v/>
      </c>
      <c r="J486" s="7">
        <v>-2.9417827</v>
      </c>
      <c r="K486" s="7">
        <v>104.7672437</v>
      </c>
    </row>
    <row r="487">
      <c r="A487" s="3">
        <f t="shared" si="1"/>
        <v>486</v>
      </c>
      <c r="B487" s="4" t="s">
        <v>777</v>
      </c>
      <c r="C487" s="8" t="s">
        <v>918</v>
      </c>
      <c r="D487" s="6" t="s">
        <v>919</v>
      </c>
      <c r="E487" s="3"/>
      <c r="F487" s="3" t="str">
        <f>IFERROR(__xludf.DUMMYFUNCTION("SWITCH(
  TRUE,
  REGEXMATCH(B487,""Brain Academy""),""BAC"",
  REGEXMATCH(B487,""English Academy""),""EAC"",
  """"
)&amp;"" ""&amp;IFERROR(TRIM(INDEX(SPLIT(C487,""-""),2)),C487)"),"EAC Rajawali")</f>
        <v>EAC Rajawali</v>
      </c>
      <c r="G487" s="3" t="str">
        <f>IFERROR(__xludf.DUMMYFUNCTION("TRIM(INDEX(SPLIT(C487,""-""),1))"),"Palembang")</f>
        <v>Palembang</v>
      </c>
      <c r="H487" s="3" t="str">
        <f>IFERROR(__xludf.DUMMYFUNCTION("TRIM(INDEX(SPLIT(C487,""-""),2))"),"Rajawali")</f>
        <v>Rajawali</v>
      </c>
      <c r="I487" s="3" t="str">
        <f>IFERROR(__xludf.DUMMYFUNCTION("IFERROR(
TEXTJOIN(CHAR(10),TRUE,
UNIQUE(
FILTER(
'ALL Data Intertest 22 Jul 26'!F:F,
'ALL Data Intertest 22 Jul 26'!B:B=B487,
'ALL Data Intertest 22 Jul 26'!C:C=H487
)
)
),
"""")"),"")</f>
        <v/>
      </c>
      <c r="J487" s="7">
        <v>-2.9722008</v>
      </c>
      <c r="K487" s="7">
        <v>104.7643336</v>
      </c>
    </row>
    <row r="488">
      <c r="A488" s="3">
        <f t="shared" si="1"/>
        <v>487</v>
      </c>
      <c r="B488" s="4" t="s">
        <v>777</v>
      </c>
      <c r="C488" s="8" t="s">
        <v>77</v>
      </c>
      <c r="D488" s="6" t="s">
        <v>920</v>
      </c>
      <c r="E488" s="3"/>
      <c r="F488" s="3" t="str">
        <f>IFERROR(__xludf.DUMMYFUNCTION("SWITCH(
  TRUE,
  REGEXMATCH(B488,""Brain Academy""),""BAC"",
  REGEXMATCH(B488,""English Academy""),""EAC"",
  """"
)&amp;"" ""&amp;IFERROR(TRIM(INDEX(SPLIT(C488,""-""),2)),C488)"),"EAC Andi Kambo")</f>
        <v>EAC Andi Kambo</v>
      </c>
      <c r="G488" s="3" t="str">
        <f>IFERROR(__xludf.DUMMYFUNCTION("TRIM(INDEX(SPLIT(C488,""-""),1))"),"Palopo")</f>
        <v>Palopo</v>
      </c>
      <c r="H488" s="3" t="str">
        <f>IFERROR(__xludf.DUMMYFUNCTION("TRIM(INDEX(SPLIT(C488,""-""),2))"),"Andi Kambo")</f>
        <v>Andi Kambo</v>
      </c>
      <c r="I488" s="3" t="str">
        <f>IFERROR(__xludf.DUMMYFUNCTION("IFERROR(
TEXTJOIN(CHAR(10),TRUE,
UNIQUE(
FILTER(
'ALL Data Intertest 22 Jul 26'!F:F,
'ALL Data Intertest 22 Jul 26'!B:B=B488,
'ALL Data Intertest 22 Jul 26'!C:C=H488
)
)
),
"""")"),"")</f>
        <v/>
      </c>
      <c r="J488" s="7">
        <v>-3.0031699</v>
      </c>
      <c r="K488" s="7">
        <v>120.2008638</v>
      </c>
    </row>
    <row r="489">
      <c r="A489" s="3">
        <f t="shared" si="1"/>
        <v>488</v>
      </c>
      <c r="B489" s="4" t="s">
        <v>777</v>
      </c>
      <c r="C489" s="8" t="s">
        <v>250</v>
      </c>
      <c r="D489" s="6" t="s">
        <v>921</v>
      </c>
      <c r="E489" s="3"/>
      <c r="F489" s="3" t="str">
        <f>IFERROR(__xludf.DUMMYFUNCTION("SWITCH(
  TRUE,
  REGEXMATCH(B489,""Brain Academy""),""BAC"",
  REGEXMATCH(B489,""English Academy""),""EAC"",
  """"
)&amp;"" ""&amp;IFERROR(TRIM(INDEX(SPLIT(C489,""-""),2)),C489)"),"EAC Jenderal Sudirman")</f>
        <v>EAC Jenderal Sudirman</v>
      </c>
      <c r="G489" s="3" t="str">
        <f>IFERROR(__xludf.DUMMYFUNCTION("TRIM(INDEX(SPLIT(C489,""-""),1))"),"Palu")</f>
        <v>Palu</v>
      </c>
      <c r="H489" s="3" t="str">
        <f>IFERROR(__xludf.DUMMYFUNCTION("TRIM(INDEX(SPLIT(C489,""-""),2))"),"Jenderal Sudirman")</f>
        <v>Jenderal Sudirman</v>
      </c>
      <c r="I489" s="3" t="str">
        <f>IFERROR(__xludf.DUMMYFUNCTION("IFERROR(
TEXTJOIN(CHAR(10),TRUE,
UNIQUE(
FILTER(
'ALL Data Intertest 22 Jul 26'!F:F,
'ALL Data Intertest 22 Jul 26'!B:B=B489,
'ALL Data Intertest 22 Jul 26'!C:C=H489
)
)
),
"""")"),"")</f>
        <v/>
      </c>
      <c r="J489" s="7">
        <v>-0.8982256000000001</v>
      </c>
      <c r="K489" s="7">
        <v>119.8771813</v>
      </c>
    </row>
    <row r="490">
      <c r="A490" s="3">
        <f t="shared" si="1"/>
        <v>489</v>
      </c>
      <c r="B490" s="4" t="s">
        <v>777</v>
      </c>
      <c r="C490" s="8" t="s">
        <v>544</v>
      </c>
      <c r="D490" s="6" t="s">
        <v>922</v>
      </c>
      <c r="E490" s="3"/>
      <c r="F490" s="3" t="str">
        <f>IFERROR(__xludf.DUMMYFUNCTION("SWITCH(
  TRUE,
  REGEXMATCH(B490,""Brain Academy""),""BAC"",
  REGEXMATCH(B490,""English Academy""),""EAC"",
  """"
)&amp;"" ""&amp;IFERROR(TRIM(INDEX(SPLIT(C490,""-""),2)),C490)"),"EAC Depati Hamza")</f>
        <v>EAC Depati Hamza</v>
      </c>
      <c r="G490" s="3" t="str">
        <f>IFERROR(__xludf.DUMMYFUNCTION("TRIM(INDEX(SPLIT(C490,""-""),1))"),"Pangkal Pinang")</f>
        <v>Pangkal Pinang</v>
      </c>
      <c r="H490" s="3" t="str">
        <f>IFERROR(__xludf.DUMMYFUNCTION("TRIM(INDEX(SPLIT(C490,""-""),2))"),"Depati Hamza")</f>
        <v>Depati Hamza</v>
      </c>
      <c r="I490" s="3" t="str">
        <f>IFERROR(__xludf.DUMMYFUNCTION("IFERROR(
TEXTJOIN(CHAR(10),TRUE,
UNIQUE(
FILTER(
'ALL Data Intertest 22 Jul 26'!F:F,
'ALL Data Intertest 22 Jul 26'!B:B=B490,
'ALL Data Intertest 22 Jul 26'!C:C=H490
)
)
),
"""")"),"")</f>
        <v/>
      </c>
      <c r="J490" s="7">
        <v>-2.1349167</v>
      </c>
      <c r="K490" s="7">
        <v>106.122285</v>
      </c>
    </row>
    <row r="491">
      <c r="A491" s="3">
        <f t="shared" si="1"/>
        <v>490</v>
      </c>
      <c r="B491" s="4" t="s">
        <v>777</v>
      </c>
      <c r="C491" s="8" t="s">
        <v>644</v>
      </c>
      <c r="D491" s="6" t="s">
        <v>923</v>
      </c>
      <c r="E491" s="3"/>
      <c r="F491" s="3" t="str">
        <f>IFERROR(__xludf.DUMMYFUNCTION("SWITCH(
  TRUE,
  REGEXMATCH(B491,""Brain Academy""),""BAC"",
  REGEXMATCH(B491,""English Academy""),""EAC"",
  """"
)&amp;"" ""&amp;IFERROR(TRIM(INDEX(SPLIT(C491,""-""),2)),C491)"),"EAC Pakunegara")</f>
        <v>EAC Pakunegara</v>
      </c>
      <c r="G491" s="3" t="str">
        <f>IFERROR(__xludf.DUMMYFUNCTION("TRIM(INDEX(SPLIT(C491,""-""),1))"),"Pangkalan Bun")</f>
        <v>Pangkalan Bun</v>
      </c>
      <c r="H491" s="3" t="str">
        <f>IFERROR(__xludf.DUMMYFUNCTION("TRIM(INDEX(SPLIT(C491,""-""),2))"),"Pakunegara")</f>
        <v>Pakunegara</v>
      </c>
      <c r="I491" s="3" t="str">
        <f>IFERROR(__xludf.DUMMYFUNCTION("IFERROR(
TEXTJOIN(CHAR(10),TRUE,
UNIQUE(
FILTER(
'ALL Data Intertest 22 Jul 26'!F:F,
'ALL Data Intertest 22 Jul 26'!B:B=B491,
'ALL Data Intertest 22 Jul 26'!C:C=H491
)
)
),
"""")"),"")</f>
        <v/>
      </c>
      <c r="J491" s="7">
        <v>-2.6751393</v>
      </c>
      <c r="K491" s="7">
        <v>111.6380031</v>
      </c>
    </row>
    <row r="492">
      <c r="A492" s="3">
        <f t="shared" si="1"/>
        <v>491</v>
      </c>
      <c r="B492" s="4" t="s">
        <v>777</v>
      </c>
      <c r="C492" s="8" t="s">
        <v>548</v>
      </c>
      <c r="D492" s="6" t="s">
        <v>924</v>
      </c>
      <c r="E492" s="3"/>
      <c r="F492" s="3" t="str">
        <f>IFERROR(__xludf.DUMMYFUNCTION("SWITCH(
  TRUE,
  REGEXMATCH(B492,""Brain Academy""),""BAC"",
  REGEXMATCH(B492,""English Academy""),""EAC"",
  """"
)&amp;"" ""&amp;IFERROR(TRIM(INDEX(SPLIT(C492,""-""),2)),C492)"),"EAC Maharaja Indra")</f>
        <v>EAC Maharaja Indra</v>
      </c>
      <c r="G492" s="3" t="str">
        <f>IFERROR(__xludf.DUMMYFUNCTION("TRIM(INDEX(SPLIT(C492,""-""),1))"),"Pangkalan Kerinci")</f>
        <v>Pangkalan Kerinci</v>
      </c>
      <c r="H492" s="3" t="str">
        <f>IFERROR(__xludf.DUMMYFUNCTION("TRIM(INDEX(SPLIT(C492,""-""),2))"),"Maharaja Indra")</f>
        <v>Maharaja Indra</v>
      </c>
      <c r="I492" s="3" t="str">
        <f>IFERROR(__xludf.DUMMYFUNCTION("IFERROR(
TEXTJOIN(CHAR(10),TRUE,
UNIQUE(
FILTER(
'ALL Data Intertest 22 Jul 26'!F:F,
'ALL Data Intertest 22 Jul 26'!B:B=B492,
'ALL Data Intertest 22 Jul 26'!C:C=H492
)
)
),
"""")"),"")</f>
        <v/>
      </c>
      <c r="J492" s="7">
        <v>0.393332</v>
      </c>
      <c r="K492" s="7">
        <v>101.8577431</v>
      </c>
    </row>
    <row r="493">
      <c r="A493" s="3">
        <f t="shared" si="1"/>
        <v>492</v>
      </c>
      <c r="B493" s="4" t="s">
        <v>777</v>
      </c>
      <c r="C493" s="8" t="s">
        <v>592</v>
      </c>
      <c r="D493" s="6" t="s">
        <v>925</v>
      </c>
      <c r="E493" s="3"/>
      <c r="F493" s="3" t="str">
        <f>IFERROR(__xludf.DUMMYFUNCTION("SWITCH(
  TRUE,
  REGEXMATCH(B493,""Brain Academy""),""BAC"",
  REGEXMATCH(B493,""English Academy""),""EAC"",
  """"
)&amp;"" ""&amp;IFERROR(TRIM(INDEX(SPLIT(C493,""-""),2)),C493)"),"EAC Sultan Hasanuddin")</f>
        <v>EAC Sultan Hasanuddin</v>
      </c>
      <c r="G493" s="3" t="str">
        <f>IFERROR(__xludf.DUMMYFUNCTION("TRIM(INDEX(SPLIT(C493,""-""),1))"),"Pangkep")</f>
        <v>Pangkep</v>
      </c>
      <c r="H493" s="3" t="str">
        <f>IFERROR(__xludf.DUMMYFUNCTION("TRIM(INDEX(SPLIT(C493,""-""),2))"),"Sultan Hasanuddin")</f>
        <v>Sultan Hasanuddin</v>
      </c>
      <c r="I493" s="3" t="str">
        <f>IFERROR(__xludf.DUMMYFUNCTION("IFERROR(
TEXTJOIN(CHAR(10),TRUE,
UNIQUE(
FILTER(
'ALL Data Intertest 22 Jul 26'!F:F,
'ALL Data Intertest 22 Jul 26'!B:B=B493,
'ALL Data Intertest 22 Jul 26'!C:C=H493
)
)
),
"""")"),"")</f>
        <v/>
      </c>
      <c r="J493" s="7">
        <v>-4.8287205</v>
      </c>
      <c r="K493" s="7">
        <v>119.5456161</v>
      </c>
    </row>
    <row r="494">
      <c r="A494" s="3">
        <f t="shared" si="1"/>
        <v>493</v>
      </c>
      <c r="B494" s="4" t="s">
        <v>777</v>
      </c>
      <c r="C494" s="8" t="s">
        <v>598</v>
      </c>
      <c r="D494" s="6" t="s">
        <v>599</v>
      </c>
      <c r="E494" s="3"/>
      <c r="F494" s="3" t="str">
        <f>IFERROR(__xludf.DUMMYFUNCTION("SWITCH(
  TRUE,
  REGEXMATCH(B494,""Brain Academy""),""BAC"",
  REGEXMATCH(B494,""English Academy""),""EAC"",
  """"
)&amp;"" ""&amp;IFERROR(TRIM(INDEX(SPLIT(C494,""-""),2)),C494)"),"EAC Mattirotasi")</f>
        <v>EAC Mattirotasi</v>
      </c>
      <c r="G494" s="3" t="str">
        <f>IFERROR(__xludf.DUMMYFUNCTION("TRIM(INDEX(SPLIT(C494,""-""),1))"),"Parepare")</f>
        <v>Parepare</v>
      </c>
      <c r="H494" s="3" t="str">
        <f>IFERROR(__xludf.DUMMYFUNCTION("TRIM(INDEX(SPLIT(C494,""-""),2))"),"Mattirotasi")</f>
        <v>Mattirotasi</v>
      </c>
      <c r="I494" s="3" t="str">
        <f>IFERROR(__xludf.DUMMYFUNCTION("IFERROR(
TEXTJOIN(CHAR(10),TRUE,
UNIQUE(
FILTER(
'ALL Data Intertest 22 Jul 26'!F:F,
'ALL Data Intertest 22 Jul 26'!B:B=B494,
'ALL Data Intertest 22 Jul 26'!C:C=H494
)
)
),
"""")"),"")</f>
        <v/>
      </c>
      <c r="J494" s="7">
        <v>-4.0256749</v>
      </c>
      <c r="K494" s="7">
        <v>119.6241838</v>
      </c>
    </row>
    <row r="495">
      <c r="A495" s="3">
        <f t="shared" si="1"/>
        <v>494</v>
      </c>
      <c r="B495" s="4" t="s">
        <v>777</v>
      </c>
      <c r="C495" s="8" t="s">
        <v>926</v>
      </c>
      <c r="D495" s="6" t="s">
        <v>927</v>
      </c>
      <c r="E495" s="3"/>
      <c r="F495" s="3" t="str">
        <f>IFERROR(__xludf.DUMMYFUNCTION("SWITCH(
  TRUE,
  REGEXMATCH(B495,""Brain Academy""),""BAC"",
  REGEXMATCH(B495,""English Academy""),""EAC"",
  """"
)&amp;"" ""&amp;IFERROR(TRIM(INDEX(SPLIT(C495,""-""),2)),C495)"),"EAC Jend. Sudirman")</f>
        <v>EAC Jend. Sudirman</v>
      </c>
      <c r="G495" s="3" t="str">
        <f>IFERROR(__xludf.DUMMYFUNCTION("TRIM(INDEX(SPLIT(C495,""-""),1))"),"Pati")</f>
        <v>Pati</v>
      </c>
      <c r="H495" s="3" t="str">
        <f>IFERROR(__xludf.DUMMYFUNCTION("TRIM(INDEX(SPLIT(C495,""-""),2))"),"Jend. Sudirman")</f>
        <v>Jend. Sudirman</v>
      </c>
      <c r="I495" s="3" t="str">
        <f>IFERROR(__xludf.DUMMYFUNCTION("IFERROR(
TEXTJOIN(CHAR(10),TRUE,
UNIQUE(
FILTER(
'ALL Data Intertest 22 Jul 26'!F:F,
'ALL Data Intertest 22 Jul 26'!B:B=B495,
'ALL Data Intertest 22 Jul 26'!C:C=H495
)
)
),
"""")"),"")</f>
        <v/>
      </c>
      <c r="J495" s="7">
        <v>-6.7521312</v>
      </c>
      <c r="K495" s="7">
        <v>111.0342451</v>
      </c>
    </row>
    <row r="496">
      <c r="A496" s="3">
        <f t="shared" si="1"/>
        <v>495</v>
      </c>
      <c r="B496" s="4" t="s">
        <v>777</v>
      </c>
      <c r="C496" s="8" t="s">
        <v>371</v>
      </c>
      <c r="D496" s="6" t="s">
        <v>928</v>
      </c>
      <c r="E496" s="3"/>
      <c r="F496" s="3" t="str">
        <f>IFERROR(__xludf.DUMMYFUNCTION("SWITCH(
  TRUE,
  REGEXMATCH(B496,""Brain Academy""),""BAC"",
  REGEXMATCH(B496,""English Academy""),""EAC"",
  """"
)&amp;"" ""&amp;IFERROR(TRIM(INDEX(SPLIT(C496,""-""),2)),C496)"),"EAC Simpang Benteng")</f>
        <v>EAC Simpang Benteng</v>
      </c>
      <c r="G496" s="3" t="str">
        <f>IFERROR(__xludf.DUMMYFUNCTION("TRIM(INDEX(SPLIT(C496,""-""),1))"),"Payakumbuh")</f>
        <v>Payakumbuh</v>
      </c>
      <c r="H496" s="3" t="str">
        <f>IFERROR(__xludf.DUMMYFUNCTION("TRIM(INDEX(SPLIT(C496,""-""),2))"),"Simpang Benteng")</f>
        <v>Simpang Benteng</v>
      </c>
      <c r="I496" s="3" t="str">
        <f>IFERROR(__xludf.DUMMYFUNCTION("IFERROR(
TEXTJOIN(CHAR(10),TRUE,
UNIQUE(
FILTER(
'ALL Data Intertest 22 Jul 26'!F:F,
'ALL Data Intertest 22 Jul 26'!B:B=B496,
'ALL Data Intertest 22 Jul 26'!C:C=H496
)
)
),
"""")"),"")</f>
        <v/>
      </c>
      <c r="J496" s="7">
        <v>-0.223137</v>
      </c>
      <c r="K496" s="7">
        <v>100.638544</v>
      </c>
    </row>
    <row r="497">
      <c r="A497" s="3">
        <f t="shared" si="1"/>
        <v>496</v>
      </c>
      <c r="B497" s="4" t="s">
        <v>777</v>
      </c>
      <c r="C497" s="8" t="s">
        <v>396</v>
      </c>
      <c r="D497" s="6" t="s">
        <v>929</v>
      </c>
      <c r="E497" s="3"/>
      <c r="F497" s="3" t="str">
        <f>IFERROR(__xludf.DUMMYFUNCTION("SWITCH(
  TRUE,
  REGEXMATCH(B497,""Brain Academy""),""BAC"",
  REGEXMATCH(B497,""English Academy""),""EAC"",
  """"
)&amp;"" ""&amp;IFERROR(TRIM(INDEX(SPLIT(C497,""-""),2)),C497)"),"EAC Diponegoro")</f>
        <v>EAC Diponegoro</v>
      </c>
      <c r="G497" s="3" t="str">
        <f>IFERROR(__xludf.DUMMYFUNCTION("TRIM(INDEX(SPLIT(C497,""-""),1))"),"Pekalongan")</f>
        <v>Pekalongan</v>
      </c>
      <c r="H497" s="3" t="str">
        <f>IFERROR(__xludf.DUMMYFUNCTION("TRIM(INDEX(SPLIT(C497,""-""),2))"),"Diponegoro")</f>
        <v>Diponegoro</v>
      </c>
      <c r="I497" s="3" t="str">
        <f>IFERROR(__xludf.DUMMYFUNCTION("IFERROR(
TEXTJOIN(CHAR(10),TRUE,
UNIQUE(
FILTER(
'ALL Data Intertest 22 Jul 26'!F:F,
'ALL Data Intertest 22 Jul 26'!B:B=B497,
'ALL Data Intertest 22 Jul 26'!C:C=H497
)
)
),
"""")"),"")</f>
        <v/>
      </c>
      <c r="J497" s="7">
        <v>-6.8841113</v>
      </c>
      <c r="K497" s="7">
        <v>109.6704001</v>
      </c>
    </row>
    <row r="498">
      <c r="A498" s="3">
        <f t="shared" si="1"/>
        <v>497</v>
      </c>
      <c r="B498" s="4" t="s">
        <v>777</v>
      </c>
      <c r="C498" s="8" t="s">
        <v>930</v>
      </c>
      <c r="D498" s="6" t="s">
        <v>931</v>
      </c>
      <c r="E498" s="3"/>
      <c r="F498" s="3" t="str">
        <f>IFERROR(__xludf.DUMMYFUNCTION("SWITCH(
  TRUE,
  REGEXMATCH(B498,""Brain Academy""),""BAC"",
  REGEXMATCH(B498,""English Academy""),""EAC"",
  """"
)&amp;"" ""&amp;IFERROR(TRIM(INDEX(SPLIT(C498,""-""),2)),C498)"),"EAC Ahmad Yani")</f>
        <v>EAC Ahmad Yani</v>
      </c>
      <c r="G498" s="3" t="str">
        <f>IFERROR(__xludf.DUMMYFUNCTION("TRIM(INDEX(SPLIT(C498,""-""),1))"),"Pekanbaru")</f>
        <v>Pekanbaru</v>
      </c>
      <c r="H498" s="3" t="str">
        <f>IFERROR(__xludf.DUMMYFUNCTION("TRIM(INDEX(SPLIT(C498,""-""),2))"),"Ahmad Yani")</f>
        <v>Ahmad Yani</v>
      </c>
      <c r="I498" s="3" t="str">
        <f>IFERROR(__xludf.DUMMYFUNCTION("IFERROR(
TEXTJOIN(CHAR(10),TRUE,
UNIQUE(
FILTER(
'ALL Data Intertest 22 Jul 26'!F:F,
'ALL Data Intertest 22 Jul 26'!B:B=B498,
'ALL Data Intertest 22 Jul 26'!C:C=H498
)
)
),
"""")"),"")</f>
        <v/>
      </c>
      <c r="J498" s="7">
        <v>0.5252901999999999</v>
      </c>
      <c r="K498" s="7">
        <v>101.4425373</v>
      </c>
    </row>
    <row r="499">
      <c r="A499" s="3">
        <f t="shared" si="1"/>
        <v>498</v>
      </c>
      <c r="B499" s="4" t="s">
        <v>777</v>
      </c>
      <c r="C499" s="8" t="s">
        <v>257</v>
      </c>
      <c r="D499" s="6" t="s">
        <v>932</v>
      </c>
      <c r="E499" s="3"/>
      <c r="F499" s="3" t="str">
        <f>IFERROR(__xludf.DUMMYFUNCTION("SWITCH(
  TRUE,
  REGEXMATCH(B499,""Brain Academy""),""BAC"",
  REGEXMATCH(B499,""English Academy""),""EAC"",
  """"
)&amp;"" ""&amp;IFERROR(TRIM(INDEX(SPLIT(C499,""-""),2)),C499)"),"EAC Panam")</f>
        <v>EAC Panam</v>
      </c>
      <c r="G499" s="3" t="str">
        <f>IFERROR(__xludf.DUMMYFUNCTION("TRIM(INDEX(SPLIT(C499,""-""),1))"),"Pekanbaru")</f>
        <v>Pekanbaru</v>
      </c>
      <c r="H499" s="3" t="str">
        <f>IFERROR(__xludf.DUMMYFUNCTION("TRIM(INDEX(SPLIT(C499,""-""),2))"),"Panam")</f>
        <v>Panam</v>
      </c>
      <c r="I499" s="3" t="str">
        <f>IFERROR(__xludf.DUMMYFUNCTION("IFERROR(
TEXTJOIN(CHAR(10),TRUE,
UNIQUE(
FILTER(
'ALL Data Intertest 22 Jul 26'!F:F,
'ALL Data Intertest 22 Jul 26'!B:B=B499,
'ALL Data Intertest 22 Jul 26'!C:C=H499
)
)
),
"""")"),"")</f>
        <v/>
      </c>
      <c r="J499" s="7">
        <v>0.4642152</v>
      </c>
      <c r="K499" s="7">
        <v>101.3887125</v>
      </c>
    </row>
    <row r="500">
      <c r="A500" s="3">
        <f t="shared" si="1"/>
        <v>499</v>
      </c>
      <c r="B500" s="4" t="s">
        <v>777</v>
      </c>
      <c r="C500" s="8" t="s">
        <v>175</v>
      </c>
      <c r="D500" s="6" t="s">
        <v>933</v>
      </c>
      <c r="E500" s="3"/>
      <c r="F500" s="3" t="str">
        <f>IFERROR(__xludf.DUMMYFUNCTION("SWITCH(
  TRUE,
  REGEXMATCH(B500,""Brain Academy""),""BAC"",
  REGEXMATCH(B500,""English Academy""),""EAC"",
  """"
)&amp;"" ""&amp;IFERROR(TRIM(INDEX(SPLIT(C500,""-""),2)),C500)"),"EAC Sutomo")</f>
        <v>EAC Sutomo</v>
      </c>
      <c r="G500" s="3" t="str">
        <f>IFERROR(__xludf.DUMMYFUNCTION("TRIM(INDEX(SPLIT(C500,""-""),1))"),"Pematangsiantar")</f>
        <v>Pematangsiantar</v>
      </c>
      <c r="H500" s="3" t="str">
        <f>IFERROR(__xludf.DUMMYFUNCTION("TRIM(INDEX(SPLIT(C500,""-""),2))"),"Sutomo")</f>
        <v>Sutomo</v>
      </c>
      <c r="I500" s="3" t="str">
        <f>IFERROR(__xludf.DUMMYFUNCTION("IFERROR(
TEXTJOIN(CHAR(10),TRUE,
UNIQUE(
FILTER(
'ALL Data Intertest 22 Jul 26'!F:F,
'ALL Data Intertest 22 Jul 26'!B:B=B500,
'ALL Data Intertest 22 Jul 26'!C:C=H500
)
)
),
"""")"),"")</f>
        <v/>
      </c>
      <c r="J500" s="7">
        <v>2.9550633</v>
      </c>
      <c r="K500" s="7">
        <v>99.06222299999999</v>
      </c>
    </row>
    <row r="501">
      <c r="A501" s="3">
        <f t="shared" si="1"/>
        <v>500</v>
      </c>
      <c r="B501" s="4" t="s">
        <v>777</v>
      </c>
      <c r="C501" s="8" t="s">
        <v>594</v>
      </c>
      <c r="D501" s="6" t="s">
        <v>934</v>
      </c>
      <c r="E501" s="3"/>
      <c r="F501" s="3" t="str">
        <f>IFERROR(__xludf.DUMMYFUNCTION("SWITCH(
  TRUE,
  REGEXMATCH(B501,""Brain Academy""),""BAC"",
  REGEXMATCH(B501,""English Academy""),""EAC"",
  """"
)&amp;"" ""&amp;IFERROR(TRIM(INDEX(SPLIT(C501,""-""),2)),C501)"),"EAC Jend. Sudirman")</f>
        <v>EAC Jend. Sudirman</v>
      </c>
      <c r="G501" s="3" t="str">
        <f>IFERROR(__xludf.DUMMYFUNCTION("TRIM(INDEX(SPLIT(C501,""-""),1))"),"Pinrang")</f>
        <v>Pinrang</v>
      </c>
      <c r="H501" s="3" t="str">
        <f>IFERROR(__xludf.DUMMYFUNCTION("TRIM(INDEX(SPLIT(C501,""-""),2))"),"Jend. Sudirman")</f>
        <v>Jend. Sudirman</v>
      </c>
      <c r="I501" s="3" t="str">
        <f>IFERROR(__xludf.DUMMYFUNCTION("IFERROR(
TEXTJOIN(CHAR(10),TRUE,
UNIQUE(
FILTER(
'ALL Data Intertest 22 Jul 26'!F:F,
'ALL Data Intertest 22 Jul 26'!B:B=B501,
'ALL Data Intertest 22 Jul 26'!C:C=H501
)
)
),
"""")"),"")</f>
        <v/>
      </c>
      <c r="J501" s="7">
        <v>-3.795875</v>
      </c>
      <c r="K501" s="7">
        <v>119.6517936</v>
      </c>
    </row>
    <row r="502">
      <c r="A502" s="3">
        <f t="shared" si="1"/>
        <v>501</v>
      </c>
      <c r="B502" s="4" t="s">
        <v>777</v>
      </c>
      <c r="C502" s="8" t="s">
        <v>243</v>
      </c>
      <c r="D502" s="6" t="s">
        <v>244</v>
      </c>
      <c r="E502" s="3"/>
      <c r="F502" s="3" t="str">
        <f>IFERROR(__xludf.DUMMYFUNCTION("SWITCH(
  TRUE,
  REGEXMATCH(B502,""Brain Academy""),""BAC"",
  REGEXMATCH(B502,""English Academy""),""EAC"",
  """"
)&amp;"" ""&amp;IFERROR(TRIM(INDEX(SPLIT(C502,""-""),2)),C502)"),"EAC Andi Depu")</f>
        <v>EAC Andi Depu</v>
      </c>
      <c r="G502" s="3" t="str">
        <f>IFERROR(__xludf.DUMMYFUNCTION("TRIM(INDEX(SPLIT(C502,""-""),1))"),"Polewali Mandar")</f>
        <v>Polewali Mandar</v>
      </c>
      <c r="H502" s="3" t="str">
        <f>IFERROR(__xludf.DUMMYFUNCTION("TRIM(INDEX(SPLIT(C502,""-""),2))"),"Andi Depu")</f>
        <v>Andi Depu</v>
      </c>
      <c r="I502" s="3" t="str">
        <f>IFERROR(__xludf.DUMMYFUNCTION("IFERROR(
TEXTJOIN(CHAR(10),TRUE,
UNIQUE(
FILTER(
'ALL Data Intertest 22 Jul 26'!F:F,
'ALL Data Intertest 22 Jul 26'!B:B=B502,
'ALL Data Intertest 22 Jul 26'!C:C=H502
)
)
),
"""")"),"")</f>
        <v/>
      </c>
      <c r="J502" s="7">
        <v>-3.4210094</v>
      </c>
      <c r="K502" s="7">
        <v>119.3253104</v>
      </c>
    </row>
    <row r="503">
      <c r="A503" s="3">
        <f t="shared" si="1"/>
        <v>502</v>
      </c>
      <c r="B503" s="4" t="s">
        <v>777</v>
      </c>
      <c r="C503" s="8" t="s">
        <v>935</v>
      </c>
      <c r="D503" s="6" t="s">
        <v>936</v>
      </c>
      <c r="E503" s="3"/>
      <c r="F503" s="3" t="str">
        <f>IFERROR(__xludf.DUMMYFUNCTION("SWITCH(
  TRUE,
  REGEXMATCH(B503,""Brain Academy""),""BAC"",
  REGEXMATCH(B503,""English Academy""),""EAC"",
  """"
)&amp;"" ""&amp;IFERROR(TRIM(INDEX(SPLIT(C503,""-""),2)),C503)"),"EAC Ayani Megamal")</f>
        <v>EAC Ayani Megamal</v>
      </c>
      <c r="G503" s="3" t="str">
        <f>IFERROR(__xludf.DUMMYFUNCTION("TRIM(INDEX(SPLIT(C503,""-""),1))"),"Pontianak")</f>
        <v>Pontianak</v>
      </c>
      <c r="H503" s="3" t="str">
        <f>IFERROR(__xludf.DUMMYFUNCTION("TRIM(INDEX(SPLIT(C503,""-""),2))"),"Ayani Megamal")</f>
        <v>Ayani Megamal</v>
      </c>
      <c r="I503" s="3" t="str">
        <f>IFERROR(__xludf.DUMMYFUNCTION("IFERROR(
TEXTJOIN(CHAR(10),TRUE,
UNIQUE(
FILTER(
'ALL Data Intertest 22 Jul 26'!F:F,
'ALL Data Intertest 22 Jul 26'!B:B=B503,
'ALL Data Intertest 22 Jul 26'!C:C=H503
)
)
),
"""")"),"")</f>
        <v/>
      </c>
      <c r="J503" s="7">
        <v>-0.051244</v>
      </c>
      <c r="K503" s="7">
        <v>109.345662</v>
      </c>
    </row>
    <row r="504">
      <c r="A504" s="3">
        <f t="shared" si="1"/>
        <v>503</v>
      </c>
      <c r="B504" s="4" t="s">
        <v>777</v>
      </c>
      <c r="C504" s="8" t="s">
        <v>506</v>
      </c>
      <c r="D504" s="6" t="s">
        <v>937</v>
      </c>
      <c r="E504" s="3"/>
      <c r="F504" s="3" t="str">
        <f>IFERROR(__xludf.DUMMYFUNCTION("SWITCH(
  TRUE,
  REGEXMATCH(B504,""Brain Academy""),""BAC"",
  REGEXMATCH(B504,""English Academy""),""EAC"",
  """"
)&amp;"" ""&amp;IFERROR(TRIM(INDEX(SPLIT(C504,""-""),2)),C504)"),"EAC Wahid Hasyim")</f>
        <v>EAC Wahid Hasyim</v>
      </c>
      <c r="G504" s="3" t="str">
        <f>IFERROR(__xludf.DUMMYFUNCTION("TRIM(INDEX(SPLIT(C504,""-""),1))"),"Pontianak")</f>
        <v>Pontianak</v>
      </c>
      <c r="H504" s="3" t="str">
        <f>IFERROR(__xludf.DUMMYFUNCTION("TRIM(INDEX(SPLIT(C504,""-""),2))"),"Wahid Hasyim")</f>
        <v>Wahid Hasyim</v>
      </c>
      <c r="I504" s="3" t="str">
        <f>IFERROR(__xludf.DUMMYFUNCTION("IFERROR(
TEXTJOIN(CHAR(10),TRUE,
UNIQUE(
FILTER(
'ALL Data Intertest 22 Jul 26'!F:F,
'ALL Data Intertest 22 Jul 26'!B:B=B504,
'ALL Data Intertest 22 Jul 26'!C:C=H504
)
)
),
"""")"),"")</f>
        <v/>
      </c>
      <c r="J504" s="7">
        <v>-0.0204102</v>
      </c>
      <c r="K504" s="7">
        <v>109.3262139</v>
      </c>
    </row>
    <row r="505">
      <c r="A505" s="3">
        <f t="shared" si="1"/>
        <v>504</v>
      </c>
      <c r="B505" s="4" t="s">
        <v>777</v>
      </c>
      <c r="C505" s="8" t="s">
        <v>71</v>
      </c>
      <c r="D505" s="6" t="s">
        <v>938</v>
      </c>
      <c r="E505" s="3"/>
      <c r="F505" s="3" t="str">
        <f>IFERROR(__xludf.DUMMYFUNCTION("SWITCH(
  TRUE,
  REGEXMATCH(B505,""Brain Academy""),""BAC"",
  REGEXMATCH(B505,""English Academy""),""EAC"",
  """"
)&amp;"" ""&amp;IFERROR(TRIM(INDEX(SPLIT(C505,""-""),2)),C505)"),"EAC Padat Karya")</f>
        <v>EAC Padat Karya</v>
      </c>
      <c r="G505" s="3" t="str">
        <f>IFERROR(__xludf.DUMMYFUNCTION("TRIM(INDEX(SPLIT(C505,""-""),1))"),"Prabumulih")</f>
        <v>Prabumulih</v>
      </c>
      <c r="H505" s="3" t="str">
        <f>IFERROR(__xludf.DUMMYFUNCTION("TRIM(INDEX(SPLIT(C505,""-""),2))"),"Padat Karya")</f>
        <v>Padat Karya</v>
      </c>
      <c r="I505" s="3" t="str">
        <f>IFERROR(__xludf.DUMMYFUNCTION("IFERROR(
TEXTJOIN(CHAR(10),TRUE,
UNIQUE(
FILTER(
'ALL Data Intertest 22 Jul 26'!F:F,
'ALL Data Intertest 22 Jul 26'!B:B=B505,
'ALL Data Intertest 22 Jul 26'!C:C=H505
)
)
),
"""")"),"")</f>
        <v/>
      </c>
      <c r="J505" s="7">
        <v>-3.4175848</v>
      </c>
      <c r="K505" s="7">
        <v>104.259284</v>
      </c>
    </row>
    <row r="506">
      <c r="A506" s="3">
        <f t="shared" si="1"/>
        <v>505</v>
      </c>
      <c r="B506" s="4" t="s">
        <v>777</v>
      </c>
      <c r="C506" s="8" t="s">
        <v>678</v>
      </c>
      <c r="D506" s="6" t="s">
        <v>939</v>
      </c>
      <c r="E506" s="3"/>
      <c r="F506" s="3" t="str">
        <f>IFERROR(__xludf.DUMMYFUNCTION("SWITCH(
  TRUE,
  REGEXMATCH(B506,""Brain Academy""),""BAC"",
  REGEXMATCH(B506,""English Academy""),""EAC"",
  """"
)&amp;"" ""&amp;IFERROR(TRIM(INDEX(SPLIT(C506,""-""),2)),C506)"),"EAC Jenderal Sudirman")</f>
        <v>EAC Jenderal Sudirman</v>
      </c>
      <c r="G506" s="3" t="str">
        <f>IFERROR(__xludf.DUMMYFUNCTION("TRIM(INDEX(SPLIT(C506,""-""),1))"),"Praya")</f>
        <v>Praya</v>
      </c>
      <c r="H506" s="3" t="str">
        <f>IFERROR(__xludf.DUMMYFUNCTION("TRIM(INDEX(SPLIT(C506,""-""),2))"),"Jenderal Sudirman")</f>
        <v>Jenderal Sudirman</v>
      </c>
      <c r="I506" s="3" t="str">
        <f>IFERROR(__xludf.DUMMYFUNCTION("IFERROR(
TEXTJOIN(CHAR(10),TRUE,
UNIQUE(
FILTER(
'ALL Data Intertest 22 Jul 26'!F:F,
'ALL Data Intertest 22 Jul 26'!B:B=B506,
'ALL Data Intertest 22 Jul 26'!C:C=H506
)
)
),
"""")"),"")</f>
        <v/>
      </c>
      <c r="J506" s="7">
        <v>-8.738425</v>
      </c>
      <c r="K506" s="7">
        <v>116.262944</v>
      </c>
    </row>
    <row r="507">
      <c r="A507" s="3">
        <f t="shared" si="1"/>
        <v>506</v>
      </c>
      <c r="B507" s="4" t="s">
        <v>777</v>
      </c>
      <c r="C507" s="8" t="s">
        <v>560</v>
      </c>
      <c r="D507" s="6" t="s">
        <v>940</v>
      </c>
      <c r="E507" s="3"/>
      <c r="F507" s="3" t="str">
        <f>IFERROR(__xludf.DUMMYFUNCTION("SWITCH(
  TRUE,
  REGEXMATCH(B507,""Brain Academy""),""BAC"",
  REGEXMATCH(B507,""English Academy""),""EAC"",
  """"
)&amp;"" ""&amp;IFERROR(TRIM(INDEX(SPLIT(C507,""-""),2)),C507)"),"EAC Ahmad Yani")</f>
        <v>EAC Ahmad Yani</v>
      </c>
      <c r="G507" s="3" t="str">
        <f>IFERROR(__xludf.DUMMYFUNCTION("TRIM(INDEX(SPLIT(C507,""-""),1))"),"Pringsewu")</f>
        <v>Pringsewu</v>
      </c>
      <c r="H507" s="3" t="str">
        <f>IFERROR(__xludf.DUMMYFUNCTION("TRIM(INDEX(SPLIT(C507,""-""),2))"),"Ahmad Yani")</f>
        <v>Ahmad Yani</v>
      </c>
      <c r="I507" s="3" t="str">
        <f>IFERROR(__xludf.DUMMYFUNCTION("IFERROR(
TEXTJOIN(CHAR(10),TRUE,
UNIQUE(
FILTER(
'ALL Data Intertest 22 Jul 26'!F:F,
'ALL Data Intertest 22 Jul 26'!B:B=B507,
'ALL Data Intertest 22 Jul 26'!C:C=H507
)
)
),
"""")"),"")</f>
        <v/>
      </c>
      <c r="J507" s="7">
        <v>-5.3561592</v>
      </c>
      <c r="K507" s="7">
        <v>104.9781193</v>
      </c>
    </row>
    <row r="508">
      <c r="A508" s="3">
        <f t="shared" si="1"/>
        <v>507</v>
      </c>
      <c r="B508" s="4" t="s">
        <v>777</v>
      </c>
      <c r="C508" s="8" t="s">
        <v>330</v>
      </c>
      <c r="D508" s="6" t="s">
        <v>941</v>
      </c>
      <c r="E508" s="3"/>
      <c r="F508" s="3" t="str">
        <f>IFERROR(__xludf.DUMMYFUNCTION("SWITCH(
  TRUE,
  REGEXMATCH(B508,""Brain Academy""),""BAC"",
  REGEXMATCH(B508,""English Academy""),""EAC"",
  """"
)&amp;"" ""&amp;IFERROR(TRIM(INDEX(SPLIT(C508,""-""),2)),C508)"),"EAC Slamet Riyadi")</f>
        <v>EAC Slamet Riyadi</v>
      </c>
      <c r="G508" s="3" t="str">
        <f>IFERROR(__xludf.DUMMYFUNCTION("TRIM(INDEX(SPLIT(C508,""-""),1))"),"Probolinggo")</f>
        <v>Probolinggo</v>
      </c>
      <c r="H508" s="3" t="str">
        <f>IFERROR(__xludf.DUMMYFUNCTION("TRIM(INDEX(SPLIT(C508,""-""),2))"),"Slamet Riyadi")</f>
        <v>Slamet Riyadi</v>
      </c>
      <c r="I508" s="3" t="str">
        <f>IFERROR(__xludf.DUMMYFUNCTION("IFERROR(
TEXTJOIN(CHAR(10),TRUE,
UNIQUE(
FILTER(
'ALL Data Intertest 22 Jul 26'!F:F,
'ALL Data Intertest 22 Jul 26'!B:B=B508,
'ALL Data Intertest 22 Jul 26'!C:C=H508
)
)
),
"""")"),"")</f>
        <v/>
      </c>
      <c r="J508" s="7">
        <v>-7.7681817</v>
      </c>
      <c r="K508" s="7">
        <v>113.2125537</v>
      </c>
    </row>
    <row r="509">
      <c r="A509" s="3">
        <f t="shared" si="1"/>
        <v>508</v>
      </c>
      <c r="B509" s="4" t="s">
        <v>777</v>
      </c>
      <c r="C509" s="8" t="s">
        <v>942</v>
      </c>
      <c r="D509" s="6" t="s">
        <v>943</v>
      </c>
      <c r="E509" s="3"/>
      <c r="F509" s="3" t="str">
        <f>IFERROR(__xludf.DUMMYFUNCTION("SWITCH(
  TRUE,
  REGEXMATCH(B509,""Brain Academy""),""BAC"",
  REGEXMATCH(B509,""English Academy""),""EAC"",
  """"
)&amp;"" ""&amp;IFERROR(TRIM(INDEX(SPLIT(C509,""-""),2)),C509)"),"EAC Suradireja")</f>
        <v>EAC Suradireja</v>
      </c>
      <c r="G509" s="3" t="str">
        <f>IFERROR(__xludf.DUMMYFUNCTION("TRIM(INDEX(SPLIT(C509,""-""),1))"),"Purwakarta")</f>
        <v>Purwakarta</v>
      </c>
      <c r="H509" s="3" t="str">
        <f>IFERROR(__xludf.DUMMYFUNCTION("TRIM(INDEX(SPLIT(C509,""-""),2))"),"Suradireja")</f>
        <v>Suradireja</v>
      </c>
      <c r="I509" s="3" t="str">
        <f>IFERROR(__xludf.DUMMYFUNCTION("IFERROR(
TEXTJOIN(CHAR(10),TRUE,
UNIQUE(
FILTER(
'ALL Data Intertest 22 Jul 26'!F:F,
'ALL Data Intertest 22 Jul 26'!B:B=B509,
'ALL Data Intertest 22 Jul 26'!C:C=H509
)
)
),
"""")"),"")</f>
        <v/>
      </c>
      <c r="J509" s="7">
        <v>-6.5452287</v>
      </c>
      <c r="K509" s="7">
        <v>107.4457679</v>
      </c>
    </row>
    <row r="510">
      <c r="A510" s="3">
        <f t="shared" si="1"/>
        <v>509</v>
      </c>
      <c r="B510" s="4" t="s">
        <v>777</v>
      </c>
      <c r="C510" s="8" t="s">
        <v>56</v>
      </c>
      <c r="D510" s="6" t="s">
        <v>57</v>
      </c>
      <c r="E510" s="3"/>
      <c r="F510" s="3" t="str">
        <f>IFERROR(__xludf.DUMMYFUNCTION("SWITCH(
  TRUE,
  REGEXMATCH(B510,""Brain Academy""),""BAC"",
  REGEXMATCH(B510,""English Academy""),""EAC"",
  """"
)&amp;"" ""&amp;IFERROR(TRIM(INDEX(SPLIT(C510,""-""),2)),C510)"),"EAC Kombas")</f>
        <v>EAC Kombas</v>
      </c>
      <c r="G510" s="3" t="str">
        <f>IFERROR(__xludf.DUMMYFUNCTION("TRIM(INDEX(SPLIT(C510,""-""),1))"),"Purwokerto")</f>
        <v>Purwokerto</v>
      </c>
      <c r="H510" s="3" t="str">
        <f>IFERROR(__xludf.DUMMYFUNCTION("TRIM(INDEX(SPLIT(C510,""-""),2))"),"Kombas")</f>
        <v>Kombas</v>
      </c>
      <c r="I510" s="3" t="str">
        <f>IFERROR(__xludf.DUMMYFUNCTION("IFERROR(
TEXTJOIN(CHAR(10),TRUE,
UNIQUE(
FILTER(
'ALL Data Intertest 22 Jul 26'!F:F,
'ALL Data Intertest 22 Jul 26'!B:B=B510,
'ALL Data Intertest 22 Jul 26'!C:C=H510
)
)
),
"""")"),"")</f>
        <v/>
      </c>
      <c r="J510" s="7">
        <v>-7.4236899</v>
      </c>
      <c r="K510" s="7">
        <v>109.2439029</v>
      </c>
    </row>
    <row r="511">
      <c r="A511" s="3">
        <f t="shared" si="1"/>
        <v>510</v>
      </c>
      <c r="B511" s="4" t="s">
        <v>777</v>
      </c>
      <c r="C511" s="8" t="s">
        <v>516</v>
      </c>
      <c r="D511" s="6" t="s">
        <v>517</v>
      </c>
      <c r="E511" s="3"/>
      <c r="F511" s="3" t="str">
        <f>IFERROR(__xludf.DUMMYFUNCTION("SWITCH(
  TRUE,
  REGEXMATCH(B511,""Brain Academy""),""BAC"",
  REGEXMATCH(B511,""English Academy""),""EAC"",
  """"
)&amp;"" ""&amp;IFERROR(TRIM(INDEX(SPLIT(C511,""-""),2)),C511)"),"EAC Tentara Pelajar")</f>
        <v>EAC Tentara Pelajar</v>
      </c>
      <c r="G511" s="3" t="str">
        <f>IFERROR(__xludf.DUMMYFUNCTION("TRIM(INDEX(SPLIT(C511,""-""),1))"),"Purworejo")</f>
        <v>Purworejo</v>
      </c>
      <c r="H511" s="3" t="str">
        <f>IFERROR(__xludf.DUMMYFUNCTION("TRIM(INDEX(SPLIT(C511,""-""),2))"),"Tentara Pelajar")</f>
        <v>Tentara Pelajar</v>
      </c>
      <c r="I511" s="3" t="str">
        <f>IFERROR(__xludf.DUMMYFUNCTION("IFERROR(
TEXTJOIN(CHAR(10),TRUE,
UNIQUE(
FILTER(
'ALL Data Intertest 22 Jul 26'!F:F,
'ALL Data Intertest 22 Jul 26'!B:B=B511,
'ALL Data Intertest 22 Jul 26'!C:C=H511
)
)
),
"""")"),"")</f>
        <v/>
      </c>
      <c r="J511" s="7">
        <v>-7.720770300000001</v>
      </c>
      <c r="K511" s="7">
        <v>109.9938411</v>
      </c>
    </row>
    <row r="512">
      <c r="A512" s="3">
        <f t="shared" si="1"/>
        <v>511</v>
      </c>
      <c r="B512" s="4" t="s">
        <v>777</v>
      </c>
      <c r="C512" s="8" t="s">
        <v>728</v>
      </c>
      <c r="D512" s="6" t="s">
        <v>798</v>
      </c>
      <c r="E512" s="3"/>
      <c r="F512" s="3" t="str">
        <f>IFERROR(__xludf.DUMMYFUNCTION("SWITCH(
  TRUE,
  REGEXMATCH(B512,""Brain Academy""),""BAC"",
  REGEXMATCH(B512,""English Academy""),""EAC"",
  """"
)&amp;"" ""&amp;IFERROR(TRIM(INDEX(SPLIT(C512,""-""),2)),C512)"),"EAC Gatot Subroto")</f>
        <v>EAC Gatot Subroto</v>
      </c>
      <c r="G512" s="3" t="str">
        <f>IFERROR(__xludf.DUMMYFUNCTION("TRIM(INDEX(SPLIT(C512,""-""),1))"),"Raha")</f>
        <v>Raha</v>
      </c>
      <c r="H512" s="3" t="str">
        <f>IFERROR(__xludf.DUMMYFUNCTION("TRIM(INDEX(SPLIT(C512,""-""),2))"),"Gatot Subroto")</f>
        <v>Gatot Subroto</v>
      </c>
      <c r="I512" s="3" t="str">
        <f>IFERROR(__xludf.DUMMYFUNCTION("IFERROR(
TEXTJOIN(CHAR(10),TRUE,
UNIQUE(
FILTER(
'ALL Data Intertest 22 Jul 26'!F:F,
'ALL Data Intertest 22 Jul 26'!B:B=B512,
'ALL Data Intertest 22 Jul 26'!C:C=H512
)
)
),
"""")"),"")</f>
        <v/>
      </c>
      <c r="J512" s="7">
        <v>-3.329498</v>
      </c>
      <c r="K512" s="7">
        <v>114.6164285</v>
      </c>
    </row>
    <row r="513">
      <c r="A513" s="3">
        <f t="shared" si="1"/>
        <v>512</v>
      </c>
      <c r="B513" s="4" t="s">
        <v>777</v>
      </c>
      <c r="C513" s="8" t="s">
        <v>522</v>
      </c>
      <c r="D513" s="6" t="s">
        <v>944</v>
      </c>
      <c r="E513" s="3"/>
      <c r="F513" s="3" t="str">
        <f>IFERROR(__xludf.DUMMYFUNCTION("SWITCH(
  TRUE,
  REGEXMATCH(B513,""Brain Academy""),""BAC"",
  REGEXMATCH(B513,""English Academy""),""EAC"",
  """"
)&amp;"" ""&amp;IFERROR(TRIM(INDEX(SPLIT(C513,""-""),2)),C513)"),"EAC Teuku Umar")</f>
        <v>EAC Teuku Umar</v>
      </c>
      <c r="G513" s="3" t="str">
        <f>IFERROR(__xludf.DUMMYFUNCTION("TRIM(INDEX(SPLIT(C513,""-""),1))"),"Sabang")</f>
        <v>Sabang</v>
      </c>
      <c r="H513" s="3" t="str">
        <f>IFERROR(__xludf.DUMMYFUNCTION("TRIM(INDEX(SPLIT(C513,""-""),2))"),"Teuku Umar")</f>
        <v>Teuku Umar</v>
      </c>
      <c r="I513" s="3" t="str">
        <f>IFERROR(__xludf.DUMMYFUNCTION("IFERROR(
TEXTJOIN(CHAR(10),TRUE,
UNIQUE(
FILTER(
'ALL Data Intertest 22 Jul 26'!F:F,
'ALL Data Intertest 22 Jul 26'!B:B=B513,
'ALL Data Intertest 22 Jul 26'!C:C=H513
)
)
),
"""")"),"")</f>
        <v/>
      </c>
      <c r="J513" s="7">
        <v>5.8918838</v>
      </c>
      <c r="K513" s="7">
        <v>95.3189667</v>
      </c>
    </row>
    <row r="514">
      <c r="A514" s="3">
        <f t="shared" si="1"/>
        <v>513</v>
      </c>
      <c r="B514" s="4" t="s">
        <v>777</v>
      </c>
      <c r="C514" s="8" t="s">
        <v>298</v>
      </c>
      <c r="D514" s="6" t="s">
        <v>945</v>
      </c>
      <c r="E514" s="3"/>
      <c r="F514" s="3" t="str">
        <f>IFERROR(__xludf.DUMMYFUNCTION("SWITCH(
  TRUE,
  REGEXMATCH(B514,""Brain Academy""),""BAC"",
  REGEXMATCH(B514,""English Academy""),""EAC"",
  """"
)&amp;"" ""&amp;IFERROR(TRIM(INDEX(SPLIT(C514,""-""),2)),C514)"),"EAC Moh. Yamin")</f>
        <v>EAC Moh. Yamin</v>
      </c>
      <c r="G514" s="3" t="str">
        <f>IFERROR(__xludf.DUMMYFUNCTION("TRIM(INDEX(SPLIT(C514,""-""),1))"),"Salatiga")</f>
        <v>Salatiga</v>
      </c>
      <c r="H514" s="3" t="str">
        <f>IFERROR(__xludf.DUMMYFUNCTION("TRIM(INDEX(SPLIT(C514,""-""),2))"),"Moh. Yamin")</f>
        <v>Moh. Yamin</v>
      </c>
      <c r="I514" s="3" t="str">
        <f>IFERROR(__xludf.DUMMYFUNCTION("IFERROR(
TEXTJOIN(CHAR(10),TRUE,
UNIQUE(
FILTER(
'ALL Data Intertest 22 Jul 26'!F:F,
'ALL Data Intertest 22 Jul 26'!B:B=B514,
'ALL Data Intertest 22 Jul 26'!C:C=H514
)
)
),
"""")"),"")</f>
        <v/>
      </c>
      <c r="J514" s="7">
        <v>-7.325446899999998</v>
      </c>
      <c r="K514" s="7">
        <v>110.5029146</v>
      </c>
    </row>
    <row r="515">
      <c r="A515" s="3">
        <f t="shared" si="1"/>
        <v>514</v>
      </c>
      <c r="B515" s="4" t="s">
        <v>777</v>
      </c>
      <c r="C515" s="8" t="s">
        <v>206</v>
      </c>
      <c r="D515" s="6" t="s">
        <v>946</v>
      </c>
      <c r="E515" s="3"/>
      <c r="F515" s="3" t="str">
        <f>IFERROR(__xludf.DUMMYFUNCTION("SWITCH(
  TRUE,
  REGEXMATCH(B515,""Brain Academy""),""BAC"",
  REGEXMATCH(B515,""English Academy""),""EAC"",
  """"
)&amp;"" ""&amp;IFERROR(TRIM(INDEX(SPLIT(C515,""-""),2)),C515)"),"EAC Pahlawan")</f>
        <v>EAC Pahlawan</v>
      </c>
      <c r="G515" s="3" t="str">
        <f>IFERROR(__xludf.DUMMYFUNCTION("TRIM(INDEX(SPLIT(C515,""-""),1))"),"Samarinda")</f>
        <v>Samarinda</v>
      </c>
      <c r="H515" s="3" t="str">
        <f>IFERROR(__xludf.DUMMYFUNCTION("TRIM(INDEX(SPLIT(C515,""-""),2))"),"Pahlawan")</f>
        <v>Pahlawan</v>
      </c>
      <c r="I515" s="3" t="str">
        <f>IFERROR(__xludf.DUMMYFUNCTION("IFERROR(
TEXTJOIN(CHAR(10),TRUE,
UNIQUE(
FILTER(
'ALL Data Intertest 22 Jul 26'!F:F,
'ALL Data Intertest 22 Jul 26'!B:B=B515,
'ALL Data Intertest 22 Jul 26'!C:C=H515
)
)
),
"""")"),"")</f>
        <v/>
      </c>
      <c r="J515" s="7">
        <v>-0.4829495</v>
      </c>
      <c r="K515" s="7">
        <v>117.1486147</v>
      </c>
    </row>
    <row r="516">
      <c r="A516" s="3">
        <f t="shared" si="1"/>
        <v>515</v>
      </c>
      <c r="B516" s="4" t="s">
        <v>777</v>
      </c>
      <c r="C516" s="8" t="s">
        <v>656</v>
      </c>
      <c r="D516" s="6" t="s">
        <v>947</v>
      </c>
      <c r="E516" s="3"/>
      <c r="F516" s="3" t="str">
        <f>IFERROR(__xludf.DUMMYFUNCTION("SWITCH(
  TRUE,
  REGEXMATCH(B516,""Brain Academy""),""BAC"",
  REGEXMATCH(B516,""English Academy""),""EAC"",
  """"
)&amp;"" ""&amp;IFERROR(TRIM(INDEX(SPLIT(C516,""-""),2)),C516)"),"EAC Ahmad Dahlan")</f>
        <v>EAC Ahmad Dahlan</v>
      </c>
      <c r="G516" s="3" t="str">
        <f>IFERROR(__xludf.DUMMYFUNCTION("TRIM(INDEX(SPLIT(C516,""-""),1))"),"Selong")</f>
        <v>Selong</v>
      </c>
      <c r="H516" s="3" t="str">
        <f>IFERROR(__xludf.DUMMYFUNCTION("TRIM(INDEX(SPLIT(C516,""-""),2))"),"Ahmad Dahlan")</f>
        <v>Ahmad Dahlan</v>
      </c>
      <c r="I516" s="3" t="str">
        <f>IFERROR(__xludf.DUMMYFUNCTION("IFERROR(
TEXTJOIN(CHAR(10),TRUE,
UNIQUE(
FILTER(
'ALL Data Intertest 22 Jul 26'!F:F,
'ALL Data Intertest 22 Jul 26'!B:B=B516,
'ALL Data Intertest 22 Jul 26'!C:C=H516
)
)
),
"""")"),"")</f>
        <v/>
      </c>
      <c r="J516" s="7">
        <v>-8.6476769</v>
      </c>
      <c r="K516" s="7">
        <v>116.5218168</v>
      </c>
    </row>
    <row r="517">
      <c r="A517" s="3">
        <f t="shared" si="1"/>
        <v>516</v>
      </c>
      <c r="B517" s="4" t="s">
        <v>777</v>
      </c>
      <c r="C517" s="8" t="s">
        <v>58</v>
      </c>
      <c r="D517" s="6" t="s">
        <v>948</v>
      </c>
      <c r="E517" s="3"/>
      <c r="F517" s="3" t="str">
        <f>IFERROR(__xludf.DUMMYFUNCTION("SWITCH(
  TRUE,
  REGEXMATCH(B517,""Brain Academy""),""BAC"",
  REGEXMATCH(B517,""English Academy""),""EAC"",
  """"
)&amp;"" ""&amp;IFERROR(TRIM(INDEX(SPLIT(C517,""-""),2)),C517)"),"EAC Banyumanik")</f>
        <v>EAC Banyumanik</v>
      </c>
      <c r="G517" s="3" t="str">
        <f>IFERROR(__xludf.DUMMYFUNCTION("TRIM(INDEX(SPLIT(C517,""-""),1))"),"Semarang")</f>
        <v>Semarang</v>
      </c>
      <c r="H517" s="3" t="str">
        <f>IFERROR(__xludf.DUMMYFUNCTION("TRIM(INDEX(SPLIT(C517,""-""),2))"),"Banyumanik")</f>
        <v>Banyumanik</v>
      </c>
      <c r="I517" s="3" t="str">
        <f>IFERROR(__xludf.DUMMYFUNCTION("IFERROR(
TEXTJOIN(CHAR(10),TRUE,
UNIQUE(
FILTER(
'ALL Data Intertest 22 Jul 26'!F:F,
'ALL Data Intertest 22 Jul 26'!B:B=B517,
'ALL Data Intertest 22 Jul 26'!C:C=H517
)
)
),
"""")"),"")</f>
        <v/>
      </c>
      <c r="J517" s="7">
        <v>-7.066114499999999</v>
      </c>
      <c r="K517" s="7">
        <v>110.4186358</v>
      </c>
    </row>
    <row r="518">
      <c r="A518" s="3">
        <f t="shared" si="1"/>
        <v>517</v>
      </c>
      <c r="B518" s="4" t="s">
        <v>777</v>
      </c>
      <c r="C518" s="8" t="s">
        <v>259</v>
      </c>
      <c r="D518" s="6" t="s">
        <v>949</v>
      </c>
      <c r="E518" s="3"/>
      <c r="F518" s="3" t="str">
        <f>IFERROR(__xludf.DUMMYFUNCTION("SWITCH(
  TRUE,
  REGEXMATCH(B518,""Brain Academy""),""BAC"",
  REGEXMATCH(B518,""English Academy""),""EAC"",
  """"
)&amp;"" ""&amp;IFERROR(TRIM(INDEX(SPLIT(C518,""-""),2)),C518)"),"EAC Majapahit")</f>
        <v>EAC Majapahit</v>
      </c>
      <c r="G518" s="3" t="str">
        <f>IFERROR(__xludf.DUMMYFUNCTION("TRIM(INDEX(SPLIT(C518,""-""),1))"),"Semarang")</f>
        <v>Semarang</v>
      </c>
      <c r="H518" s="3" t="str">
        <f>IFERROR(__xludf.DUMMYFUNCTION("TRIM(INDEX(SPLIT(C518,""-""),2))"),"Majapahit")</f>
        <v>Majapahit</v>
      </c>
      <c r="I518" s="3" t="str">
        <f>IFERROR(__xludf.DUMMYFUNCTION("IFERROR(
TEXTJOIN(CHAR(10),TRUE,
UNIQUE(
FILTER(
'ALL Data Intertest 22 Jul 26'!F:F,
'ALL Data Intertest 22 Jul 26'!B:B=B518,
'ALL Data Intertest 22 Jul 26'!C:C=H518
)
)
),
"""")"),"")</f>
        <v/>
      </c>
      <c r="J518" s="7">
        <v>-7.0239438</v>
      </c>
      <c r="K518" s="7">
        <v>110.4597914</v>
      </c>
    </row>
    <row r="519">
      <c r="A519" s="3">
        <f t="shared" si="1"/>
        <v>518</v>
      </c>
      <c r="B519" s="4" t="s">
        <v>777</v>
      </c>
      <c r="C519" s="8" t="s">
        <v>131</v>
      </c>
      <c r="D519" s="6" t="s">
        <v>950</v>
      </c>
      <c r="E519" s="3"/>
      <c r="F519" s="3" t="str">
        <f>IFERROR(__xludf.DUMMYFUNCTION("SWITCH(
  TRUE,
  REGEXMATCH(B519,""Brain Academy""),""BAC"",
  REGEXMATCH(B519,""English Academy""),""EAC"",
  """"
)&amp;"" ""&amp;IFERROR(TRIM(INDEX(SPLIT(C519,""-""),2)),C519)"),"EAC Pandanaran")</f>
        <v>EAC Pandanaran</v>
      </c>
      <c r="G519" s="3" t="str">
        <f>IFERROR(__xludf.DUMMYFUNCTION("TRIM(INDEX(SPLIT(C519,""-""),1))"),"Semarang")</f>
        <v>Semarang</v>
      </c>
      <c r="H519" s="3" t="str">
        <f>IFERROR(__xludf.DUMMYFUNCTION("TRIM(INDEX(SPLIT(C519,""-""),2))"),"Pandanaran")</f>
        <v>Pandanaran</v>
      </c>
      <c r="I519" s="3" t="str">
        <f>IFERROR(__xludf.DUMMYFUNCTION("IFERROR(
TEXTJOIN(CHAR(10),TRUE,
UNIQUE(
FILTER(
'ALL Data Intertest 22 Jul 26'!F:F,
'ALL Data Intertest 22 Jul 26'!B:B=B519,
'ALL Data Intertest 22 Jul 26'!C:C=H519
)
)
),
"""")"),"")</f>
        <v/>
      </c>
      <c r="J519" s="7">
        <v>-6.987409899999999</v>
      </c>
      <c r="K519" s="7">
        <v>110.416276</v>
      </c>
    </row>
    <row r="520">
      <c r="A520" s="3">
        <f t="shared" si="1"/>
        <v>519</v>
      </c>
      <c r="B520" s="4" t="s">
        <v>777</v>
      </c>
      <c r="C520" s="8" t="s">
        <v>369</v>
      </c>
      <c r="D520" s="6" t="s">
        <v>951</v>
      </c>
      <c r="E520" s="3"/>
      <c r="F520" s="3" t="str">
        <f>IFERROR(__xludf.DUMMYFUNCTION("SWITCH(
  TRUE,
  REGEXMATCH(B520,""Brain Academy""),""BAC"",
  REGEXMATCH(B520,""English Academy""),""EAC"",
  """"
)&amp;"" ""&amp;IFERROR(TRIM(INDEX(SPLIT(C520,""-""),2)),C520)"),"EAC Ungaran")</f>
        <v>EAC Ungaran</v>
      </c>
      <c r="G520" s="3" t="str">
        <f>IFERROR(__xludf.DUMMYFUNCTION("TRIM(INDEX(SPLIT(C520,""-""),1))"),"Semarang")</f>
        <v>Semarang</v>
      </c>
      <c r="H520" s="3" t="str">
        <f>IFERROR(__xludf.DUMMYFUNCTION("TRIM(INDEX(SPLIT(C520,""-""),2))"),"Ungaran")</f>
        <v>Ungaran</v>
      </c>
      <c r="I520" s="3" t="str">
        <f>IFERROR(__xludf.DUMMYFUNCTION("IFERROR(
TEXTJOIN(CHAR(10),TRUE,
UNIQUE(
FILTER(
'ALL Data Intertest 22 Jul 26'!F:F,
'ALL Data Intertest 22 Jul 26'!B:B=B520,
'ALL Data Intertest 22 Jul 26'!C:C=H520
)
)
),
"""")"),"")</f>
        <v/>
      </c>
      <c r="J520" s="7">
        <v>-7.1330233</v>
      </c>
      <c r="K520" s="7">
        <v>110.4021469</v>
      </c>
    </row>
    <row r="521">
      <c r="A521" s="3">
        <f t="shared" si="1"/>
        <v>520</v>
      </c>
      <c r="B521" s="4" t="s">
        <v>777</v>
      </c>
      <c r="C521" s="8" t="s">
        <v>952</v>
      </c>
      <c r="D521" s="6" t="s">
        <v>953</v>
      </c>
      <c r="E521" s="3"/>
      <c r="F521" s="3" t="str">
        <f>IFERROR(__xludf.DUMMYFUNCTION("SWITCH(
  TRUE,
  REGEXMATCH(B521,""Brain Academy""),""BAC"",
  REGEXMATCH(B521,""English Academy""),""EAC"",
  """"
)&amp;"" ""&amp;IFERROR(TRIM(INDEX(SPLIT(C521,""-""),2)),C521)"),"EAC Ahmad Yani")</f>
        <v>EAC Ahmad Yani</v>
      </c>
      <c r="G521" s="3" t="str">
        <f>IFERROR(__xludf.DUMMYFUNCTION("TRIM(INDEX(SPLIT(C521,""-""),1))"),"Serang")</f>
        <v>Serang</v>
      </c>
      <c r="H521" s="3" t="str">
        <f>IFERROR(__xludf.DUMMYFUNCTION("TRIM(INDEX(SPLIT(C521,""-""),2))"),"Ahmad Yani")</f>
        <v>Ahmad Yani</v>
      </c>
      <c r="I521" s="3" t="str">
        <f>IFERROR(__xludf.DUMMYFUNCTION("IFERROR(
TEXTJOIN(CHAR(10),TRUE,
UNIQUE(
FILTER(
'ALL Data Intertest 22 Jul 26'!F:F,
'ALL Data Intertest 22 Jul 26'!B:B=B521,
'ALL Data Intertest 22 Jul 26'!C:C=H521
)
)
),
"""")"),"")</f>
        <v/>
      </c>
      <c r="J521" s="7">
        <v>-6.120226199999999</v>
      </c>
      <c r="K521" s="7">
        <v>106.1704301</v>
      </c>
    </row>
    <row r="522">
      <c r="A522" s="3">
        <f t="shared" si="1"/>
        <v>521</v>
      </c>
      <c r="B522" s="4" t="s">
        <v>777</v>
      </c>
      <c r="C522" s="8" t="s">
        <v>954</v>
      </c>
      <c r="D522" s="6" t="s">
        <v>955</v>
      </c>
      <c r="E522" s="3"/>
      <c r="F522" s="3" t="str">
        <f>IFERROR(__xludf.DUMMYFUNCTION("SWITCH(
  TRUE,
  REGEXMATCH(B522,""Brain Academy""),""BAC"",
  REGEXMATCH(B522,""English Academy""),""EAC"",
  """"
)&amp;"" ""&amp;IFERROR(TRIM(INDEX(SPLIT(C522,""-""),2)),C522)"),"EAC Pondok Mutiara")</f>
        <v>EAC Pondok Mutiara</v>
      </c>
      <c r="G522" s="3" t="str">
        <f>IFERROR(__xludf.DUMMYFUNCTION("TRIM(INDEX(SPLIT(C522,""-""),1))"),"Sidoarjo")</f>
        <v>Sidoarjo</v>
      </c>
      <c r="H522" s="3" t="str">
        <f>IFERROR(__xludf.DUMMYFUNCTION("TRIM(INDEX(SPLIT(C522,""-""),2))"),"Pondok Mutiara")</f>
        <v>Pondok Mutiara</v>
      </c>
      <c r="I522" s="3" t="str">
        <f>IFERROR(__xludf.DUMMYFUNCTION("IFERROR(
TEXTJOIN(CHAR(10),TRUE,
UNIQUE(
FILTER(
'ALL Data Intertest 22 Jul 26'!F:F,
'ALL Data Intertest 22 Jul 26'!B:B=B522,
'ALL Data Intertest 22 Jul 26'!C:C=H522
)
)
),
"""")"),"")</f>
        <v/>
      </c>
      <c r="J522" s="7">
        <v>-7.4484517</v>
      </c>
      <c r="K522" s="7">
        <v>112.7022832</v>
      </c>
    </row>
    <row r="523">
      <c r="A523" s="3">
        <f t="shared" si="1"/>
        <v>522</v>
      </c>
      <c r="B523" s="4" t="s">
        <v>777</v>
      </c>
      <c r="C523" s="8" t="s">
        <v>404</v>
      </c>
      <c r="D523" s="6" t="s">
        <v>956</v>
      </c>
      <c r="E523" s="3"/>
      <c r="F523" s="3" t="str">
        <f>IFERROR(__xludf.DUMMYFUNCTION("SWITCH(
  TRUE,
  REGEXMATCH(B523,""Brain Academy""),""BAC"",
  REGEXMATCH(B523,""English Academy""),""EAC"",
  """"
)&amp;"" ""&amp;IFERROR(TRIM(INDEX(SPLIT(C523,""-""),2)),C523)"),"EAC Trunojoyo")</f>
        <v>EAC Trunojoyo</v>
      </c>
      <c r="G523" s="3" t="str">
        <f>IFERROR(__xludf.DUMMYFUNCTION("TRIM(INDEX(SPLIT(C523,""-""),1))"),"Sidoarjo")</f>
        <v>Sidoarjo</v>
      </c>
      <c r="H523" s="3" t="str">
        <f>IFERROR(__xludf.DUMMYFUNCTION("TRIM(INDEX(SPLIT(C523,""-""),2))"),"Trunojoyo")</f>
        <v>Trunojoyo</v>
      </c>
      <c r="I523" s="3" t="str">
        <f>IFERROR(__xludf.DUMMYFUNCTION("IFERROR(
TEXTJOIN(CHAR(10),TRUE,
UNIQUE(
FILTER(
'ALL Data Intertest 22 Jul 26'!F:F,
'ALL Data Intertest 22 Jul 26'!B:B=B523,
'ALL Data Intertest 22 Jul 26'!C:C=H523
)
)
),
"""")"),"")</f>
        <v/>
      </c>
      <c r="J523" s="7">
        <v>-7.4476596</v>
      </c>
      <c r="K523" s="7">
        <v>112.7224982</v>
      </c>
    </row>
    <row r="524">
      <c r="A524" s="3">
        <f t="shared" si="1"/>
        <v>523</v>
      </c>
      <c r="B524" s="4" t="s">
        <v>777</v>
      </c>
      <c r="C524" s="8" t="s">
        <v>422</v>
      </c>
      <c r="D524" s="6" t="s">
        <v>957</v>
      </c>
      <c r="E524" s="3"/>
      <c r="F524" s="3" t="str">
        <f>IFERROR(__xludf.DUMMYFUNCTION("SWITCH(
  TRUE,
  REGEXMATCH(B524,""Brain Academy""),""BAC"",
  REGEXMATCH(B524,""English Academy""),""EAC"",
  """"
)&amp;"" ""&amp;IFERROR(TRIM(INDEX(SPLIT(C524,""-""),2)),C524)"),"EAC Ahmad Yani")</f>
        <v>EAC Ahmad Yani</v>
      </c>
      <c r="G524" s="3" t="str">
        <f>IFERROR(__xludf.DUMMYFUNCTION("TRIM(INDEX(SPLIT(C524,""-""),1))"),"Singaraja")</f>
        <v>Singaraja</v>
      </c>
      <c r="H524" s="3" t="str">
        <f>IFERROR(__xludf.DUMMYFUNCTION("TRIM(INDEX(SPLIT(C524,""-""),2))"),"Ahmad Yani")</f>
        <v>Ahmad Yani</v>
      </c>
      <c r="I524" s="3" t="str">
        <f>IFERROR(__xludf.DUMMYFUNCTION("IFERROR(
TEXTJOIN(CHAR(10),TRUE,
UNIQUE(
FILTER(
'ALL Data Intertest 22 Jul 26'!F:F,
'ALL Data Intertest 22 Jul 26'!B:B=B524,
'ALL Data Intertest 22 Jul 26'!C:C=H524
)
)
),
"""")"),"")</f>
        <v/>
      </c>
      <c r="J524" s="7">
        <v>-8.1098407</v>
      </c>
      <c r="K524" s="7">
        <v>115.0892611</v>
      </c>
    </row>
    <row r="525">
      <c r="A525" s="3">
        <f t="shared" si="1"/>
        <v>524</v>
      </c>
      <c r="B525" s="4" t="s">
        <v>777</v>
      </c>
      <c r="C525" s="8" t="s">
        <v>508</v>
      </c>
      <c r="D525" s="6" t="s">
        <v>958</v>
      </c>
      <c r="E525" s="3"/>
      <c r="F525" s="3" t="str">
        <f>IFERROR(__xludf.DUMMYFUNCTION("SWITCH(
  TRUE,
  REGEXMATCH(B525,""Brain Academy""),""BAC"",
  REGEXMATCH(B525,""English Academy""),""EAC"",
  """"
)&amp;"" ""&amp;IFERROR(TRIM(INDEX(SPLIT(C525,""-""),2)),C525)"),"EAC Medari")</f>
        <v>EAC Medari</v>
      </c>
      <c r="G525" s="3" t="str">
        <f>IFERROR(__xludf.DUMMYFUNCTION("TRIM(INDEX(SPLIT(C525,""-""),1))"),"Sleman")</f>
        <v>Sleman</v>
      </c>
      <c r="H525" s="3" t="str">
        <f>IFERROR(__xludf.DUMMYFUNCTION("TRIM(INDEX(SPLIT(C525,""-""),2))"),"Medari")</f>
        <v>Medari</v>
      </c>
      <c r="I525" s="3" t="str">
        <f>IFERROR(__xludf.DUMMYFUNCTION("IFERROR(
TEXTJOIN(CHAR(10),TRUE,
UNIQUE(
FILTER(
'ALL Data Intertest 22 Jul 26'!F:F,
'ALL Data Intertest 22 Jul 26'!B:B=B525,
'ALL Data Intertest 22 Jul 26'!C:C=H525
)
)
),
"""")"),"")</f>
        <v/>
      </c>
      <c r="J525" s="7">
        <v>-7.6895733</v>
      </c>
      <c r="K525" s="7">
        <v>110.3428032</v>
      </c>
    </row>
    <row r="526">
      <c r="A526" s="3">
        <f t="shared" si="1"/>
        <v>525</v>
      </c>
      <c r="B526" s="4" t="s">
        <v>777</v>
      </c>
      <c r="C526" s="8" t="s">
        <v>208</v>
      </c>
      <c r="D526" s="6" t="s">
        <v>209</v>
      </c>
      <c r="E526" s="3"/>
      <c r="F526" s="3" t="str">
        <f>IFERROR(__xludf.DUMMYFUNCTION("SWITCH(
  TRUE,
  REGEXMATCH(B526,""Brain Academy""),""BAC"",
  REGEXMATCH(B526,""English Academy""),""EAC"",
  """"
)&amp;"" ""&amp;IFERROR(TRIM(INDEX(SPLIT(C526,""-""),2)),C526)"),"EAC Adi Sucipto")</f>
        <v>EAC Adi Sucipto</v>
      </c>
      <c r="G526" s="3" t="str">
        <f>IFERROR(__xludf.DUMMYFUNCTION("TRIM(INDEX(SPLIT(C526,""-""),1))"),"Solo")</f>
        <v>Solo</v>
      </c>
      <c r="H526" s="3" t="str">
        <f>IFERROR(__xludf.DUMMYFUNCTION("TRIM(INDEX(SPLIT(C526,""-""),2))"),"Adi Sucipto")</f>
        <v>Adi Sucipto</v>
      </c>
      <c r="I526" s="3" t="str">
        <f>IFERROR(__xludf.DUMMYFUNCTION("IFERROR(
TEXTJOIN(CHAR(10),TRUE,
UNIQUE(
FILTER(
'ALL Data Intertest 22 Jul 26'!F:F,
'ALL Data Intertest 22 Jul 26'!B:B=B526,
'ALL Data Intertest 22 Jul 26'!C:C=H526
)
)
),
"""")"),"")</f>
        <v/>
      </c>
      <c r="J526" s="7">
        <v>-7.5503719</v>
      </c>
      <c r="K526" s="7">
        <v>110.7896553</v>
      </c>
    </row>
    <row r="527">
      <c r="A527" s="3">
        <f t="shared" si="1"/>
        <v>526</v>
      </c>
      <c r="B527" s="4" t="s">
        <v>777</v>
      </c>
      <c r="C527" s="8" t="s">
        <v>134</v>
      </c>
      <c r="D527" s="6" t="s">
        <v>135</v>
      </c>
      <c r="E527" s="3"/>
      <c r="F527" s="3" t="str">
        <f>IFERROR(__xludf.DUMMYFUNCTION("SWITCH(
  TRUE,
  REGEXMATCH(B527,""Brain Academy""),""BAC"",
  REGEXMATCH(B527,""English Academy""),""EAC"",
  """"
)&amp;"" ""&amp;IFERROR(TRIM(INDEX(SPLIT(C527,""-""),2)),C527)"),"EAC Gajahmada")</f>
        <v>EAC Gajahmada</v>
      </c>
      <c r="G527" s="3" t="str">
        <f>IFERROR(__xludf.DUMMYFUNCTION("TRIM(INDEX(SPLIT(C527,""-""),1))"),"Solo")</f>
        <v>Solo</v>
      </c>
      <c r="H527" s="3" t="str">
        <f>IFERROR(__xludf.DUMMYFUNCTION("TRIM(INDEX(SPLIT(C527,""-""),2))"),"Gajahmada")</f>
        <v>Gajahmada</v>
      </c>
      <c r="I527" s="3" t="str">
        <f>IFERROR(__xludf.DUMMYFUNCTION("IFERROR(
TEXTJOIN(CHAR(10),TRUE,
UNIQUE(
FILTER(
'ALL Data Intertest 22 Jul 26'!F:F,
'ALL Data Intertest 22 Jul 26'!B:B=B527,
'ALL Data Intertest 22 Jul 26'!C:C=H527
)
)
),
"""")"),"")</f>
        <v/>
      </c>
      <c r="J527" s="7">
        <v>-7.560285899999999</v>
      </c>
      <c r="K527" s="7">
        <v>110.8193041</v>
      </c>
    </row>
    <row r="528">
      <c r="A528" s="3">
        <f t="shared" si="1"/>
        <v>527</v>
      </c>
      <c r="B528" s="4" t="s">
        <v>777</v>
      </c>
      <c r="C528" s="8" t="s">
        <v>959</v>
      </c>
      <c r="D528" s="6" t="s">
        <v>960</v>
      </c>
      <c r="E528" s="3"/>
      <c r="F528" s="3" t="str">
        <f>IFERROR(__xludf.DUMMYFUNCTION("SWITCH(
  TRUE,
  REGEXMATCH(B528,""Brain Academy""),""BAC"",
  REGEXMATCH(B528,""English Academy""),""EAC"",
  """"
)&amp;"" ""&amp;IFERROR(TRIM(INDEX(SPLIT(C528,""-""),2)),C528)"),"EAC Solo Baru")</f>
        <v>EAC Solo Baru</v>
      </c>
      <c r="G528" s="3" t="str">
        <f>IFERROR(__xludf.DUMMYFUNCTION("TRIM(INDEX(SPLIT(C528,""-""),1))"),"Solo")</f>
        <v>Solo</v>
      </c>
      <c r="H528" s="3" t="str">
        <f>IFERROR(__xludf.DUMMYFUNCTION("TRIM(INDEX(SPLIT(C528,""-""),2))"),"Solo Baru")</f>
        <v>Solo Baru</v>
      </c>
      <c r="I528" s="3" t="str">
        <f>IFERROR(__xludf.DUMMYFUNCTION("IFERROR(
TEXTJOIN(CHAR(10),TRUE,
UNIQUE(
FILTER(
'ALL Data Intertest 22 Jul 26'!F:F,
'ALL Data Intertest 22 Jul 26'!B:B=B528,
'ALL Data Intertest 22 Jul 26'!C:C=H528
)
)
),
"""")"),"")</f>
        <v/>
      </c>
      <c r="J528" s="7">
        <v>-7.6003476</v>
      </c>
      <c r="K528" s="7">
        <v>110.8141009</v>
      </c>
    </row>
    <row r="529">
      <c r="A529" s="3">
        <f t="shared" si="1"/>
        <v>528</v>
      </c>
      <c r="B529" s="4" t="s">
        <v>777</v>
      </c>
      <c r="C529" s="8" t="s">
        <v>367</v>
      </c>
      <c r="D529" s="6" t="s">
        <v>961</v>
      </c>
      <c r="E529" s="3"/>
      <c r="F529" s="3" t="str">
        <f>IFERROR(__xludf.DUMMYFUNCTION("SWITCH(
  TRUE,
  REGEXMATCH(B529,""Brain Academy""),""BAC"",
  REGEXMATCH(B529,""English Academy""),""EAC"",
  """"
)&amp;"" ""&amp;IFERROR(TRIM(INDEX(SPLIT(C529,""-""),2)),C529)"),"EAC Lalabata")</f>
        <v>EAC Lalabata</v>
      </c>
      <c r="G529" s="3" t="str">
        <f>IFERROR(__xludf.DUMMYFUNCTION("TRIM(INDEX(SPLIT(C529,""-""),1))"),"Soppeng")</f>
        <v>Soppeng</v>
      </c>
      <c r="H529" s="3" t="str">
        <f>IFERROR(__xludf.DUMMYFUNCTION("TRIM(INDEX(SPLIT(C529,""-""),2))"),"Lalabata")</f>
        <v>Lalabata</v>
      </c>
      <c r="I529" s="3" t="str">
        <f>IFERROR(__xludf.DUMMYFUNCTION("IFERROR(
TEXTJOIN(CHAR(10),TRUE,
UNIQUE(
FILTER(
'ALL Data Intertest 22 Jul 26'!F:F,
'ALL Data Intertest 22 Jul 26'!B:B=B529,
'ALL Data Intertest 22 Jul 26'!C:C=H529
)
)
),
"""")"),"")</f>
        <v/>
      </c>
      <c r="J529" s="7">
        <v>-4.353907299999999</v>
      </c>
      <c r="K529" s="7">
        <v>119.8876093</v>
      </c>
    </row>
    <row r="530">
      <c r="A530" s="3">
        <f t="shared" si="1"/>
        <v>529</v>
      </c>
      <c r="B530" s="4" t="s">
        <v>777</v>
      </c>
      <c r="C530" s="8" t="s">
        <v>616</v>
      </c>
      <c r="D530" s="6" t="s">
        <v>962</v>
      </c>
      <c r="E530" s="3"/>
      <c r="F530" s="3" t="str">
        <f>IFERROR(__xludf.DUMMYFUNCTION("SWITCH(
  TRUE,
  REGEXMATCH(B530,""Brain Academy""),""BAC"",
  REGEXMATCH(B530,""English Academy""),""EAC"",
  """"
)&amp;"" ""&amp;IFERROR(TRIM(INDEX(SPLIT(C530,""-""),2)),C530)"),"EAC Pramuka")</f>
        <v>EAC Pramuka</v>
      </c>
      <c r="G530" s="3" t="str">
        <f>IFERROR(__xludf.DUMMYFUNCTION("TRIM(INDEX(SPLIT(C530,""-""),1))"),"Sorong")</f>
        <v>Sorong</v>
      </c>
      <c r="H530" s="3" t="str">
        <f>IFERROR(__xludf.DUMMYFUNCTION("TRIM(INDEX(SPLIT(C530,""-""),2))"),"Pramuka")</f>
        <v>Pramuka</v>
      </c>
      <c r="I530" s="3" t="str">
        <f>IFERROR(__xludf.DUMMYFUNCTION("IFERROR(
TEXTJOIN(CHAR(10),TRUE,
UNIQUE(
FILTER(
'ALL Data Intertest 22 Jul 26'!F:F,
'ALL Data Intertest 22 Jul 26'!B:B=B530,
'ALL Data Intertest 22 Jul 26'!C:C=H530
)
)
),
"""")"),"")</f>
        <v/>
      </c>
      <c r="J530" s="7">
        <v>-0.8803605</v>
      </c>
      <c r="K530" s="7">
        <v>131.2871201</v>
      </c>
    </row>
    <row r="531">
      <c r="A531" s="3">
        <f t="shared" si="1"/>
        <v>530</v>
      </c>
      <c r="B531" s="4" t="s">
        <v>777</v>
      </c>
      <c r="C531" s="8" t="s">
        <v>334</v>
      </c>
      <c r="D531" s="6" t="s">
        <v>963</v>
      </c>
      <c r="E531" s="3"/>
      <c r="F531" s="3" t="str">
        <f>IFERROR(__xludf.DUMMYFUNCTION("SWITCH(
  TRUE,
  REGEXMATCH(B531,""Brain Academy""),""BAC"",
  REGEXMATCH(B531,""English Academy""),""EAC"",
  """"
)&amp;"" ""&amp;IFERROR(TRIM(INDEX(SPLIT(C531,""-""),2)),C531)"),"EAC Sukowati")</f>
        <v>EAC Sukowati</v>
      </c>
      <c r="G531" s="3" t="str">
        <f>IFERROR(__xludf.DUMMYFUNCTION("TRIM(INDEX(SPLIT(C531,""-""),1))"),"Sragen")</f>
        <v>Sragen</v>
      </c>
      <c r="H531" s="3" t="str">
        <f>IFERROR(__xludf.DUMMYFUNCTION("TRIM(INDEX(SPLIT(C531,""-""),2))"),"Sukowati")</f>
        <v>Sukowati</v>
      </c>
      <c r="I531" s="3" t="str">
        <f>IFERROR(__xludf.DUMMYFUNCTION("IFERROR(
TEXTJOIN(CHAR(10),TRUE,
UNIQUE(
FILTER(
'ALL Data Intertest 22 Jul 26'!F:F,
'ALL Data Intertest 22 Jul 26'!B:B=B531,
'ALL Data Intertest 22 Jul 26'!C:C=H531
)
)
),
"""")"),"")</f>
        <v/>
      </c>
      <c r="J531" s="7">
        <v>-7.4303336</v>
      </c>
      <c r="K531" s="7">
        <v>111.0272998</v>
      </c>
    </row>
    <row r="532">
      <c r="A532" s="3">
        <f t="shared" si="1"/>
        <v>531</v>
      </c>
      <c r="B532" s="4" t="s">
        <v>777</v>
      </c>
      <c r="C532" s="8" t="s">
        <v>400</v>
      </c>
      <c r="D532" s="6" t="s">
        <v>964</v>
      </c>
      <c r="E532" s="3"/>
      <c r="F532" s="3" t="str">
        <f>IFERROR(__xludf.DUMMYFUNCTION("SWITCH(
  TRUE,
  REGEXMATCH(B532,""Brain Academy""),""BAC"",
  REGEXMATCH(B532,""English Academy""),""EAC"",
  """"
)&amp;"" ""&amp;IFERROR(TRIM(INDEX(SPLIT(C532,""-""),2)),C532)"),"EAC Sudirman")</f>
        <v>EAC Sudirman</v>
      </c>
      <c r="G532" s="3" t="str">
        <f>IFERROR(__xludf.DUMMYFUNCTION("TRIM(INDEX(SPLIT(C532,""-""),1))"),"Sukabumi")</f>
        <v>Sukabumi</v>
      </c>
      <c r="H532" s="3" t="str">
        <f>IFERROR(__xludf.DUMMYFUNCTION("TRIM(INDEX(SPLIT(C532,""-""),2))"),"Sudirman")</f>
        <v>Sudirman</v>
      </c>
      <c r="I532" s="3" t="str">
        <f>IFERROR(__xludf.DUMMYFUNCTION("IFERROR(
TEXTJOIN(CHAR(10),TRUE,
UNIQUE(
FILTER(
'ALL Data Intertest 22 Jul 26'!F:F,
'ALL Data Intertest 22 Jul 26'!B:B=B532,
'ALL Data Intertest 22 Jul 26'!C:C=H532
)
)
),
"""")"),"")</f>
        <v/>
      </c>
      <c r="J532" s="7">
        <v>-6.9207287</v>
      </c>
      <c r="K532" s="7">
        <v>106.9224955</v>
      </c>
    </row>
    <row r="533">
      <c r="A533" s="3">
        <f t="shared" si="1"/>
        <v>532</v>
      </c>
      <c r="B533" s="4" t="s">
        <v>777</v>
      </c>
      <c r="C533" s="8" t="s">
        <v>338</v>
      </c>
      <c r="D533" s="6" t="s">
        <v>965</v>
      </c>
      <c r="E533" s="3"/>
      <c r="F533" s="3" t="str">
        <f>IFERROR(__xludf.DUMMYFUNCTION("SWITCH(
  TRUE,
  REGEXMATCH(B533,""Brain Academy""),""BAC"",
  REGEXMATCH(B533,""English Academy""),""EAC"",
  """"
)&amp;"" ""&amp;IFERROR(TRIM(INDEX(SPLIT(C533,""-""),2)),C533)"),"EAC Veteran")</f>
        <v>EAC Veteran</v>
      </c>
      <c r="G533" s="3" t="str">
        <f>IFERROR(__xludf.DUMMYFUNCTION("TRIM(INDEX(SPLIT(C533,""-""),1))"),"Sukoharjo")</f>
        <v>Sukoharjo</v>
      </c>
      <c r="H533" s="3" t="str">
        <f>IFERROR(__xludf.DUMMYFUNCTION("TRIM(INDEX(SPLIT(C533,""-""),2))"),"Veteran")</f>
        <v>Veteran</v>
      </c>
      <c r="I533" s="3" t="str">
        <f>IFERROR(__xludf.DUMMYFUNCTION("IFERROR(
TEXTJOIN(CHAR(10),TRUE,
UNIQUE(
FILTER(
'ALL Data Intertest 22 Jul 26'!F:F,
'ALL Data Intertest 22 Jul 26'!B:B=B533,
'ALL Data Intertest 22 Jul 26'!C:C=H533
)
)
),
"""")"),"")</f>
        <v/>
      </c>
      <c r="J533" s="7">
        <v>-7.6819419</v>
      </c>
      <c r="K533" s="7">
        <v>110.8251372</v>
      </c>
    </row>
    <row r="534">
      <c r="A534" s="3">
        <f t="shared" si="1"/>
        <v>533</v>
      </c>
      <c r="B534" s="4" t="s">
        <v>777</v>
      </c>
      <c r="C534" s="8" t="s">
        <v>186</v>
      </c>
      <c r="D534" s="6" t="s">
        <v>966</v>
      </c>
      <c r="E534" s="3"/>
      <c r="F534" s="3" t="str">
        <f>IFERROR(__xludf.DUMMYFUNCTION("SWITCH(
  TRUE,
  REGEXMATCH(B534,""Brain Academy""),""BAC"",
  REGEXMATCH(B534,""English Academy""),""EAC"",
  """"
)&amp;"" ""&amp;IFERROR(TRIM(INDEX(SPLIT(C534,""-""),2)),C534)"),"EAC Prabu Geusan Ulun")</f>
        <v>EAC Prabu Geusan Ulun</v>
      </c>
      <c r="G534" s="3" t="str">
        <f>IFERROR(__xludf.DUMMYFUNCTION("TRIM(INDEX(SPLIT(C534,""-""),1))"),"Sumedang")</f>
        <v>Sumedang</v>
      </c>
      <c r="H534" s="3" t="str">
        <f>IFERROR(__xludf.DUMMYFUNCTION("TRIM(INDEX(SPLIT(C534,""-""),2))"),"Prabu Geusan Ulun")</f>
        <v>Prabu Geusan Ulun</v>
      </c>
      <c r="I534" s="3" t="str">
        <f>IFERROR(__xludf.DUMMYFUNCTION("IFERROR(
TEXTJOIN(CHAR(10),TRUE,
UNIQUE(
FILTER(
'ALL Data Intertest 22 Jul 26'!F:F,
'ALL Data Intertest 22 Jul 26'!B:B=B534,
'ALL Data Intertest 22 Jul 26'!C:C=H534
)
)
),
"""")"),"")</f>
        <v/>
      </c>
      <c r="J534" s="7">
        <v>-6.852543799999999</v>
      </c>
      <c r="K534" s="7">
        <v>107.9225148</v>
      </c>
    </row>
    <row r="535">
      <c r="A535" s="3">
        <f t="shared" si="1"/>
        <v>534</v>
      </c>
      <c r="B535" s="4" t="s">
        <v>777</v>
      </c>
      <c r="C535" s="8" t="s">
        <v>140</v>
      </c>
      <c r="D535" s="6" t="s">
        <v>967</v>
      </c>
      <c r="E535" s="3"/>
      <c r="F535" s="3" t="str">
        <f>IFERROR(__xludf.DUMMYFUNCTION("SWITCH(
  TRUE,
  REGEXMATCH(B535,""Brain Academy""),""BAC"",
  REGEXMATCH(B535,""English Academy""),""EAC"",
  """"
)&amp;"" ""&amp;IFERROR(TRIM(INDEX(SPLIT(C535,""-""),2)),C535)"),"EAC Jemursari")</f>
        <v>EAC Jemursari</v>
      </c>
      <c r="G535" s="3" t="str">
        <f>IFERROR(__xludf.DUMMYFUNCTION("TRIM(INDEX(SPLIT(C535,""-""),1))"),"Surabaya")</f>
        <v>Surabaya</v>
      </c>
      <c r="H535" s="3" t="str">
        <f>IFERROR(__xludf.DUMMYFUNCTION("TRIM(INDEX(SPLIT(C535,""-""),2))"),"Jemursari")</f>
        <v>Jemursari</v>
      </c>
      <c r="I535" s="3" t="str">
        <f>IFERROR(__xludf.DUMMYFUNCTION("IFERROR(
TEXTJOIN(CHAR(10),TRUE,
UNIQUE(
FILTER(
'ALL Data Intertest 22 Jul 26'!F:F,
'ALL Data Intertest 22 Jul 26'!B:B=B535,
'ALL Data Intertest 22 Jul 26'!C:C=H535
)
)
),
"""")"),"")</f>
        <v/>
      </c>
      <c r="J535" s="7">
        <v>-7.325154599999999</v>
      </c>
      <c r="K535" s="7">
        <v>112.737535</v>
      </c>
    </row>
    <row r="536">
      <c r="A536" s="3">
        <f t="shared" si="1"/>
        <v>535</v>
      </c>
      <c r="B536" s="4" t="s">
        <v>777</v>
      </c>
      <c r="C536" s="8" t="s">
        <v>137</v>
      </c>
      <c r="D536" s="6" t="s">
        <v>968</v>
      </c>
      <c r="E536" s="3"/>
      <c r="F536" s="3" t="str">
        <f>IFERROR(__xludf.DUMMYFUNCTION("SWITCH(
  TRUE,
  REGEXMATCH(B536,""Brain Academy""),""BAC"",
  REGEXMATCH(B536,""English Academy""),""EAC"",
  """"
)&amp;"" ""&amp;IFERROR(TRIM(INDEX(SPLIT(C536,""-""),2)),C536)"),"EAC Kusuma Bangsa")</f>
        <v>EAC Kusuma Bangsa</v>
      </c>
      <c r="G536" s="3" t="str">
        <f>IFERROR(__xludf.DUMMYFUNCTION("TRIM(INDEX(SPLIT(C536,""-""),1))"),"Surabaya")</f>
        <v>Surabaya</v>
      </c>
      <c r="H536" s="3" t="str">
        <f>IFERROR(__xludf.DUMMYFUNCTION("TRIM(INDEX(SPLIT(C536,""-""),2))"),"Kusuma Bangsa")</f>
        <v>Kusuma Bangsa</v>
      </c>
      <c r="I536" s="3" t="str">
        <f>IFERROR(__xludf.DUMMYFUNCTION("IFERROR(
TEXTJOIN(CHAR(10),TRUE,
UNIQUE(
FILTER(
'ALL Data Intertest 22 Jul 26'!F:F,
'ALL Data Intertest 22 Jul 26'!B:B=B536,
'ALL Data Intertest 22 Jul 26'!C:C=H536
)
)
),
"""")"),"")</f>
        <v/>
      </c>
      <c r="J536" s="7">
        <v>-7.256808100000001</v>
      </c>
      <c r="K536" s="7">
        <v>112.7508372</v>
      </c>
    </row>
    <row r="537">
      <c r="A537" s="3">
        <f t="shared" si="1"/>
        <v>536</v>
      </c>
      <c r="B537" s="4" t="s">
        <v>777</v>
      </c>
      <c r="C537" s="8" t="s">
        <v>969</v>
      </c>
      <c r="D537" s="6" t="s">
        <v>970</v>
      </c>
      <c r="E537" s="3"/>
      <c r="F537" s="3" t="str">
        <f>IFERROR(__xludf.DUMMYFUNCTION("SWITCH(
  TRUE,
  REGEXMATCH(B537,""Brain Academy""),""BAC"",
  REGEXMATCH(B537,""English Academy""),""EAC"",
  """"
)&amp;"" ""&amp;IFERROR(TRIM(INDEX(SPLIT(C537,""-""),2)),C537)"),"EAC MERR")</f>
        <v>EAC MERR</v>
      </c>
      <c r="G537" s="3" t="str">
        <f>IFERROR(__xludf.DUMMYFUNCTION("TRIM(INDEX(SPLIT(C537,""-""),1))"),"Surabaya")</f>
        <v>Surabaya</v>
      </c>
      <c r="H537" s="3" t="str">
        <f>IFERROR(__xludf.DUMMYFUNCTION("TRIM(INDEX(SPLIT(C537,""-""),2))"),"MERR")</f>
        <v>MERR</v>
      </c>
      <c r="I537" s="3" t="str">
        <f>IFERROR(__xludf.DUMMYFUNCTION("IFERROR(
TEXTJOIN(CHAR(10),TRUE,
UNIQUE(
FILTER(
'ALL Data Intertest 22 Jul 26'!F:F,
'ALL Data Intertest 22 Jul 26'!B:B=B537,
'ALL Data Intertest 22 Jul 26'!C:C=H537
)
)
),
"""")"),"")</f>
        <v/>
      </c>
      <c r="J537" s="7">
        <v>-7.319906699999999</v>
      </c>
      <c r="K537" s="7">
        <v>112.7807509</v>
      </c>
    </row>
    <row r="538">
      <c r="A538" s="3">
        <f t="shared" si="1"/>
        <v>537</v>
      </c>
      <c r="B538" s="4" t="s">
        <v>777</v>
      </c>
      <c r="C538" s="8" t="s">
        <v>248</v>
      </c>
      <c r="D538" s="6" t="s">
        <v>971</v>
      </c>
      <c r="E538" s="3"/>
      <c r="F538" s="3" t="str">
        <f>IFERROR(__xludf.DUMMYFUNCTION("SWITCH(
  TRUE,
  REGEXMATCH(B538,""Brain Academy""),""BAC"",
  REGEXMATCH(B538,""English Academy""),""EAC"",
  """"
)&amp;"" ""&amp;IFERROR(TRIM(INDEX(SPLIT(C538,""-""),2)),C538)"),"EAC Wiyung")</f>
        <v>EAC Wiyung</v>
      </c>
      <c r="G538" s="3" t="str">
        <f>IFERROR(__xludf.DUMMYFUNCTION("TRIM(INDEX(SPLIT(C538,""-""),1))"),"Surabaya")</f>
        <v>Surabaya</v>
      </c>
      <c r="H538" s="3" t="str">
        <f>IFERROR(__xludf.DUMMYFUNCTION("TRIM(INDEX(SPLIT(C538,""-""),2))"),"Wiyung")</f>
        <v>Wiyung</v>
      </c>
      <c r="I538" s="3" t="str">
        <f>IFERROR(__xludf.DUMMYFUNCTION("IFERROR(
TEXTJOIN(CHAR(10),TRUE,
UNIQUE(
FILTER(
'ALL Data Intertest 22 Jul 26'!F:F,
'ALL Data Intertest 22 Jul 26'!B:B=B538,
'ALL Data Intertest 22 Jul 26'!C:C=H538
)
)
),
"""")"),"")</f>
        <v/>
      </c>
      <c r="J538" s="7">
        <v>-7.3140059</v>
      </c>
      <c r="K538" s="7">
        <v>112.698555</v>
      </c>
    </row>
    <row r="539">
      <c r="A539" s="3">
        <f t="shared" si="1"/>
        <v>538</v>
      </c>
      <c r="B539" s="4" t="s">
        <v>777</v>
      </c>
      <c r="C539" s="8" t="s">
        <v>375</v>
      </c>
      <c r="D539" s="6" t="s">
        <v>972</v>
      </c>
      <c r="E539" s="3"/>
      <c r="F539" s="3" t="str">
        <f>IFERROR(__xludf.DUMMYFUNCTION("SWITCH(
  TRUE,
  REGEXMATCH(B539,""Brain Academy""),""BAC"",
  REGEXMATCH(B539,""English Academy""),""EAC"",
  """"
)&amp;"" ""&amp;IFERROR(TRIM(INDEX(SPLIT(C539,""-""),2)),C539)"),"EAC Ir. Soekarno")</f>
        <v>EAC Ir. Soekarno</v>
      </c>
      <c r="G539" s="3" t="str">
        <f>IFERROR(__xludf.DUMMYFUNCTION("TRIM(INDEX(SPLIT(C539,""-""),1))"),"Tabanan")</f>
        <v>Tabanan</v>
      </c>
      <c r="H539" s="3" t="str">
        <f>IFERROR(__xludf.DUMMYFUNCTION("TRIM(INDEX(SPLIT(C539,""-""),2))"),"Ir. Soekarno")</f>
        <v>Ir. Soekarno</v>
      </c>
      <c r="I539" s="3" t="str">
        <f>IFERROR(__xludf.DUMMYFUNCTION("IFERROR(
TEXTJOIN(CHAR(10),TRUE,
UNIQUE(
FILTER(
'ALL Data Intertest 22 Jul 26'!F:F,
'ALL Data Intertest 22 Jul 26'!B:B=B539,
'ALL Data Intertest 22 Jul 26'!C:C=H539
)
)
),
"""")"),"")</f>
        <v/>
      </c>
      <c r="J539" s="7">
        <v>-8.541323799999999</v>
      </c>
      <c r="K539" s="7">
        <v>115.1126743</v>
      </c>
    </row>
    <row r="540">
      <c r="A540" s="3">
        <f t="shared" si="1"/>
        <v>539</v>
      </c>
      <c r="B540" s="4" t="s">
        <v>777</v>
      </c>
      <c r="C540" s="8" t="s">
        <v>600</v>
      </c>
      <c r="D540" s="6" t="s">
        <v>973</v>
      </c>
      <c r="E540" s="3"/>
      <c r="F540" s="3" t="str">
        <f>IFERROR(__xludf.DUMMYFUNCTION("SWITCH(
  TRUE,
  REGEXMATCH(B540,""Brain Academy""),""BAC"",
  REGEXMATCH(B540,""English Academy""),""EAC"",
  """"
)&amp;"" ""&amp;IFERROR(TRIM(INDEX(SPLIT(C540,""-""),2)),C540)"),"EAC Makale")</f>
        <v>EAC Makale</v>
      </c>
      <c r="G540" s="3" t="str">
        <f>IFERROR(__xludf.DUMMYFUNCTION("TRIM(INDEX(SPLIT(C540,""-""),1))"),"Tana Toraja")</f>
        <v>Tana Toraja</v>
      </c>
      <c r="H540" s="3" t="str">
        <f>IFERROR(__xludf.DUMMYFUNCTION("TRIM(INDEX(SPLIT(C540,""-""),2))"),"Makale")</f>
        <v>Makale</v>
      </c>
      <c r="I540" s="3" t="str">
        <f>IFERROR(__xludf.DUMMYFUNCTION("IFERROR(
TEXTJOIN(CHAR(10),TRUE,
UNIQUE(
FILTER(
'ALL Data Intertest 22 Jul 26'!F:F,
'ALL Data Intertest 22 Jul 26'!B:B=B540,
'ALL Data Intertest 22 Jul 26'!C:C=H540
)
)
),
"""")"),"")</f>
        <v/>
      </c>
      <c r="J540" s="7">
        <v>-3.0892048</v>
      </c>
      <c r="K540" s="7">
        <v>119.8483477</v>
      </c>
    </row>
    <row r="541">
      <c r="A541" s="3">
        <f t="shared" si="1"/>
        <v>540</v>
      </c>
      <c r="B541" s="4" t="s">
        <v>777</v>
      </c>
      <c r="C541" s="8" t="s">
        <v>179</v>
      </c>
      <c r="D541" s="6" t="s">
        <v>974</v>
      </c>
      <c r="E541" s="3"/>
      <c r="F541" s="3" t="str">
        <f>IFERROR(__xludf.DUMMYFUNCTION("SWITCH(
  TRUE,
  REGEXMATCH(B541,""Brain Academy""),""BAC"",
  REGEXMATCH(B541,""English Academy""),""EAC"",
  """"
)&amp;"" ""&amp;IFERROR(TRIM(INDEX(SPLIT(C541,""-""),2)),C541)"),"EAC Citra Raya")</f>
        <v>EAC Citra Raya</v>
      </c>
      <c r="G541" s="3" t="str">
        <f>IFERROR(__xludf.DUMMYFUNCTION("TRIM(INDEX(SPLIT(C541,""-""),1))"),"Tangerang")</f>
        <v>Tangerang</v>
      </c>
      <c r="H541" s="3" t="str">
        <f>IFERROR(__xludf.DUMMYFUNCTION("TRIM(INDEX(SPLIT(C541,""-""),2))"),"Citra Raya")</f>
        <v>Citra Raya</v>
      </c>
      <c r="I541" s="3" t="str">
        <f>IFERROR(__xludf.DUMMYFUNCTION("IFERROR(
TEXTJOIN(CHAR(10),TRUE,
UNIQUE(
FILTER(
'ALL Data Intertest 22 Jul 26'!F:F,
'ALL Data Intertest 22 Jul 26'!B:B=B541,
'ALL Data Intertest 22 Jul 26'!C:C=H541
)
)
),
"""")"),"")</f>
        <v/>
      </c>
      <c r="J541" s="7">
        <v>-6.320635299999999</v>
      </c>
      <c r="K541" s="7">
        <v>106.4205891</v>
      </c>
    </row>
    <row r="542">
      <c r="A542" s="3">
        <f t="shared" si="1"/>
        <v>541</v>
      </c>
      <c r="B542" s="4" t="s">
        <v>777</v>
      </c>
      <c r="C542" s="8" t="s">
        <v>13</v>
      </c>
      <c r="D542" s="6" t="s">
        <v>975</v>
      </c>
      <c r="E542" s="3"/>
      <c r="F542" s="3" t="str">
        <f>IFERROR(__xludf.DUMMYFUNCTION("SWITCH(
  TRUE,
  REGEXMATCH(B542,""Brain Academy""),""BAC"",
  REGEXMATCH(B542,""English Academy""),""EAC"",
  """"
)&amp;"" ""&amp;IFERROR(TRIM(INDEX(SPLIT(C542,""-""),2)),C542)"),"EAC Citymall")</f>
        <v>EAC Citymall</v>
      </c>
      <c r="G542" s="3" t="str">
        <f>IFERROR(__xludf.DUMMYFUNCTION("TRIM(INDEX(SPLIT(C542,""-""),1))"),"Tangerang")</f>
        <v>Tangerang</v>
      </c>
      <c r="H542" s="3" t="str">
        <f>IFERROR(__xludf.DUMMYFUNCTION("TRIM(INDEX(SPLIT(C542,""-""),2))"),"Citymall")</f>
        <v>Citymall</v>
      </c>
      <c r="I542" s="3" t="str">
        <f>IFERROR(__xludf.DUMMYFUNCTION("IFERROR(
TEXTJOIN(CHAR(10),TRUE,
UNIQUE(
FILTER(
'ALL Data Intertest 22 Jul 26'!F:F,
'ALL Data Intertest 22 Jul 26'!B:B=B542,
'ALL Data Intertest 22 Jul 26'!C:C=H542
)
)
),
"""")"),"")</f>
        <v/>
      </c>
      <c r="J542" s="7">
        <v>-6.1942792</v>
      </c>
      <c r="K542" s="7">
        <v>106.6350698</v>
      </c>
    </row>
    <row r="543">
      <c r="A543" s="3">
        <f t="shared" si="1"/>
        <v>542</v>
      </c>
      <c r="B543" s="4" t="s">
        <v>777</v>
      </c>
      <c r="C543" s="8" t="s">
        <v>379</v>
      </c>
      <c r="D543" s="6" t="s">
        <v>976</v>
      </c>
      <c r="E543" s="3"/>
      <c r="F543" s="3" t="str">
        <f>IFERROR(__xludf.DUMMYFUNCTION("SWITCH(
  TRUE,
  REGEXMATCH(B543,""Brain Academy""),""BAC"",
  REGEXMATCH(B543,""English Academy""),""EAC"",
  """"
)&amp;"" ""&amp;IFERROR(TRIM(INDEX(SPLIT(C543,""-""),2)),C543)"),"EAC Gading Serpong")</f>
        <v>EAC Gading Serpong</v>
      </c>
      <c r="G543" s="3" t="str">
        <f>IFERROR(__xludf.DUMMYFUNCTION("TRIM(INDEX(SPLIT(C543,""-""),1))"),"Tangerang")</f>
        <v>Tangerang</v>
      </c>
      <c r="H543" s="3" t="str">
        <f>IFERROR(__xludf.DUMMYFUNCTION("TRIM(INDEX(SPLIT(C543,""-""),2))"),"Gading Serpong")</f>
        <v>Gading Serpong</v>
      </c>
      <c r="I543" s="3" t="str">
        <f>IFERROR(__xludf.DUMMYFUNCTION("IFERROR(
TEXTJOIN(CHAR(10),TRUE,
UNIQUE(
FILTER(
'ALL Data Intertest 22 Jul 26'!F:F,
'ALL Data Intertest 22 Jul 26'!B:B=B543,
'ALL Data Intertest 22 Jul 26'!C:C=H543
)
)
),
"""")"),"")</f>
        <v/>
      </c>
      <c r="J543" s="7">
        <v>-6.2428111</v>
      </c>
      <c r="K543" s="7">
        <v>106.6238878</v>
      </c>
    </row>
    <row r="544">
      <c r="A544" s="3">
        <f t="shared" si="1"/>
        <v>543</v>
      </c>
      <c r="B544" s="4" t="s">
        <v>777</v>
      </c>
      <c r="C544" s="8" t="s">
        <v>304</v>
      </c>
      <c r="D544" s="6" t="s">
        <v>977</v>
      </c>
      <c r="E544" s="3"/>
      <c r="F544" s="3" t="str">
        <f>IFERROR(__xludf.DUMMYFUNCTION("SWITCH(
  TRUE,
  REGEXMATCH(B544,""Brain Academy""),""BAC"",
  REGEXMATCH(B544,""English Academy""),""EAC"",
  """"
)&amp;"" ""&amp;IFERROR(TRIM(INDEX(SPLIT(C544,""-""),2)),C544)"),"EAC Karawaci")</f>
        <v>EAC Karawaci</v>
      </c>
      <c r="G544" s="3" t="str">
        <f>IFERROR(__xludf.DUMMYFUNCTION("TRIM(INDEX(SPLIT(C544,""-""),1))"),"Tangerang")</f>
        <v>Tangerang</v>
      </c>
      <c r="H544" s="3" t="str">
        <f>IFERROR(__xludf.DUMMYFUNCTION("TRIM(INDEX(SPLIT(C544,""-""),2))"),"Karawaci")</f>
        <v>Karawaci</v>
      </c>
      <c r="I544" s="3" t="str">
        <f>IFERROR(__xludf.DUMMYFUNCTION("IFERROR(
TEXTJOIN(CHAR(10),TRUE,
UNIQUE(
FILTER(
'ALL Data Intertest 22 Jul 26'!F:F,
'ALL Data Intertest 22 Jul 26'!B:B=B544,
'ALL Data Intertest 22 Jul 26'!C:C=H544
)
)
),
"""")"),"")</f>
        <v/>
      </c>
      <c r="J544" s="7">
        <v>-6.210054299999999</v>
      </c>
      <c r="K544" s="7">
        <v>106.6113358</v>
      </c>
    </row>
    <row r="545">
      <c r="A545" s="3">
        <f t="shared" si="1"/>
        <v>544</v>
      </c>
      <c r="B545" s="4" t="s">
        <v>777</v>
      </c>
      <c r="C545" s="8" t="s">
        <v>468</v>
      </c>
      <c r="D545" s="6" t="s">
        <v>978</v>
      </c>
      <c r="E545" s="3"/>
      <c r="F545" s="3" t="str">
        <f>IFERROR(__xludf.DUMMYFUNCTION("SWITCH(
  TRUE,
  REGEXMATCH(B545,""Brain Academy""),""BAC"",
  REGEXMATCH(B545,""English Academy""),""EAC"",
  """"
)&amp;"" ""&amp;IFERROR(TRIM(INDEX(SPLIT(C545,""-""),2)),C545)"),"EAC Bintaro")</f>
        <v>EAC Bintaro</v>
      </c>
      <c r="G545" s="3" t="str">
        <f>IFERROR(__xludf.DUMMYFUNCTION("TRIM(INDEX(SPLIT(C545,""-""),1))"),"Tangerang Selatan")</f>
        <v>Tangerang Selatan</v>
      </c>
      <c r="H545" s="3" t="str">
        <f>IFERROR(__xludf.DUMMYFUNCTION("TRIM(INDEX(SPLIT(C545,""-""),2))"),"Bintaro")</f>
        <v>Bintaro</v>
      </c>
      <c r="I545" s="3" t="str">
        <f>IFERROR(__xludf.DUMMYFUNCTION("IFERROR(
TEXTJOIN(CHAR(10),TRUE,
UNIQUE(
FILTER(
'ALL Data Intertest 22 Jul 26'!F:F,
'ALL Data Intertest 22 Jul 26'!B:B=B545,
'ALL Data Intertest 22 Jul 26'!C:C=H545
)
)
),
"""")"),"")</f>
        <v/>
      </c>
      <c r="J545" s="7">
        <v>-6.2732765</v>
      </c>
      <c r="K545" s="7">
        <v>106.7433324</v>
      </c>
    </row>
    <row r="546">
      <c r="A546" s="3">
        <f t="shared" si="1"/>
        <v>545</v>
      </c>
      <c r="B546" s="4" t="s">
        <v>777</v>
      </c>
      <c r="C546" s="8" t="s">
        <v>979</v>
      </c>
      <c r="D546" s="6" t="s">
        <v>980</v>
      </c>
      <c r="E546" s="3"/>
      <c r="F546" s="3" t="str">
        <f>IFERROR(__xludf.DUMMYFUNCTION("SWITCH(
  TRUE,
  REGEXMATCH(B546,""Brain Academy""),""BAC"",
  REGEXMATCH(B546,""English Academy""),""EAC"",
  """"
)&amp;"" ""&amp;IFERROR(TRIM(INDEX(SPLIT(C546,""-""),2)),C546)"),"EAC BSD Golden Boulevard")</f>
        <v>EAC BSD Golden Boulevard</v>
      </c>
      <c r="G546" s="3" t="str">
        <f>IFERROR(__xludf.DUMMYFUNCTION("TRIM(INDEX(SPLIT(C546,""-""),1))"),"Tangerang Selatan")</f>
        <v>Tangerang Selatan</v>
      </c>
      <c r="H546" s="3" t="str">
        <f>IFERROR(__xludf.DUMMYFUNCTION("TRIM(INDEX(SPLIT(C546,""-""),2))"),"BSD Golden Boulevard")</f>
        <v>BSD Golden Boulevard</v>
      </c>
      <c r="I546" s="3" t="str">
        <f>IFERROR(__xludf.DUMMYFUNCTION("IFERROR(
TEXTJOIN(CHAR(10),TRUE,
UNIQUE(
FILTER(
'ALL Data Intertest 22 Jul 26'!F:F,
'ALL Data Intertest 22 Jul 26'!B:B=B546,
'ALL Data Intertest 22 Jul 26'!C:C=H546
)
)
),
"""")"),"")</f>
        <v/>
      </c>
      <c r="J546" s="7">
        <v>-6.2773094</v>
      </c>
      <c r="K546" s="7">
        <v>106.6614608</v>
      </c>
    </row>
    <row r="547">
      <c r="A547" s="3">
        <f t="shared" si="1"/>
        <v>546</v>
      </c>
      <c r="B547" s="4" t="s">
        <v>777</v>
      </c>
      <c r="C547" s="8" t="s">
        <v>106</v>
      </c>
      <c r="D547" s="6" t="s">
        <v>981</v>
      </c>
      <c r="E547" s="3"/>
      <c r="F547" s="3" t="str">
        <f>IFERROR(__xludf.DUMMYFUNCTION("SWITCH(
  TRUE,
  REGEXMATCH(B547,""Brain Academy""),""BAC"",
  REGEXMATCH(B547,""English Academy""),""EAC"",
  """"
)&amp;"" ""&amp;IFERROR(TRIM(INDEX(SPLIT(C547,""-""),2)),C547)"),"EAC Golden Madrid")</f>
        <v>EAC Golden Madrid</v>
      </c>
      <c r="G547" s="3" t="str">
        <f>IFERROR(__xludf.DUMMYFUNCTION("TRIM(INDEX(SPLIT(C547,""-""),1))"),"Tangerang Selatan")</f>
        <v>Tangerang Selatan</v>
      </c>
      <c r="H547" s="3" t="str">
        <f>IFERROR(__xludf.DUMMYFUNCTION("TRIM(INDEX(SPLIT(C547,""-""),2))"),"Golden Madrid")</f>
        <v>Golden Madrid</v>
      </c>
      <c r="I547" s="3" t="str">
        <f>IFERROR(__xludf.DUMMYFUNCTION("IFERROR(
TEXTJOIN(CHAR(10),TRUE,
UNIQUE(
FILTER(
'ALL Data Intertest 22 Jul 26'!F:F,
'ALL Data Intertest 22 Jul 26'!B:B=B547,
'ALL Data Intertest 22 Jul 26'!C:C=H547
)
)
),
"""")"),"")</f>
        <v/>
      </c>
      <c r="J547" s="7">
        <v>-6.3037908</v>
      </c>
      <c r="K547" s="7">
        <v>106.6856888</v>
      </c>
    </row>
    <row r="548">
      <c r="A548" s="3">
        <f t="shared" si="1"/>
        <v>547</v>
      </c>
      <c r="B548" s="4" t="s">
        <v>777</v>
      </c>
      <c r="C548" s="8" t="s">
        <v>982</v>
      </c>
      <c r="D548" s="6" t="s">
        <v>983</v>
      </c>
      <c r="E548" s="3"/>
      <c r="F548" s="3" t="str">
        <f>IFERROR(__xludf.DUMMYFUNCTION("SWITCH(
  TRUE,
  REGEXMATCH(B548,""Brain Academy""),""BAC"",
  REGEXMATCH(B548,""English Academy""),""EAC"",
  """"
)&amp;"" ""&amp;IFERROR(TRIM(INDEX(SPLIT(C548,""-""),2)),C548)"),"EAC Graha Raya")</f>
        <v>EAC Graha Raya</v>
      </c>
      <c r="G548" s="3" t="str">
        <f>IFERROR(__xludf.DUMMYFUNCTION("TRIM(INDEX(SPLIT(C548,""-""),1))"),"Tangerang Selatan")</f>
        <v>Tangerang Selatan</v>
      </c>
      <c r="H548" s="3" t="str">
        <f>IFERROR(__xludf.DUMMYFUNCTION("TRIM(INDEX(SPLIT(C548,""-""),2))"),"Graha Raya")</f>
        <v>Graha Raya</v>
      </c>
      <c r="I548" s="3" t="str">
        <f>IFERROR(__xludf.DUMMYFUNCTION("IFERROR(
TEXTJOIN(CHAR(10),TRUE,
UNIQUE(
FILTER(
'ALL Data Intertest 22 Jul 26'!F:F,
'ALL Data Intertest 22 Jul 26'!B:B=B548,
'ALL Data Intertest 22 Jul 26'!C:C=H548
)
)
),
"""")"),"")</f>
        <v/>
      </c>
      <c r="J548" s="7">
        <v>-6.2213954</v>
      </c>
      <c r="K548" s="7">
        <v>106.6938421</v>
      </c>
    </row>
    <row r="549">
      <c r="A549" s="3">
        <f t="shared" si="1"/>
        <v>548</v>
      </c>
      <c r="B549" s="4" t="s">
        <v>777</v>
      </c>
      <c r="C549" s="8" t="s">
        <v>231</v>
      </c>
      <c r="D549" s="6" t="s">
        <v>984</v>
      </c>
      <c r="E549" s="3"/>
      <c r="F549" s="3" t="str">
        <f>IFERROR(__xludf.DUMMYFUNCTION("SWITCH(
  TRUE,
  REGEXMATCH(B549,""Brain Academy""),""BAC"",
  REGEXMATCH(B549,""English Academy""),""EAC"",
  """"
)&amp;"" ""&amp;IFERROR(TRIM(INDEX(SPLIT(C549,""-""),2)),C549)"),"EAC Pamulang")</f>
        <v>EAC Pamulang</v>
      </c>
      <c r="G549" s="3" t="str">
        <f>IFERROR(__xludf.DUMMYFUNCTION("TRIM(INDEX(SPLIT(C549,""-""),1))"),"Tangerang Selatan")</f>
        <v>Tangerang Selatan</v>
      </c>
      <c r="H549" s="3" t="str">
        <f>IFERROR(__xludf.DUMMYFUNCTION("TRIM(INDEX(SPLIT(C549,""-""),2))"),"Pamulang")</f>
        <v>Pamulang</v>
      </c>
      <c r="I549" s="3" t="str">
        <f>IFERROR(__xludf.DUMMYFUNCTION("IFERROR(
TEXTJOIN(CHAR(10),TRUE,
UNIQUE(
FILTER(
'ALL Data Intertest 22 Jul 26'!F:F,
'ALL Data Intertest 22 Jul 26'!B:B=B549,
'ALL Data Intertest 22 Jul 26'!C:C=H549
)
)
),
"""")"),"")</f>
        <v/>
      </c>
      <c r="J549" s="7">
        <v>-6.3487819</v>
      </c>
      <c r="K549" s="7">
        <v>106.7372331</v>
      </c>
    </row>
    <row r="550">
      <c r="A550" s="3">
        <f t="shared" si="1"/>
        <v>549</v>
      </c>
      <c r="B550" s="4" t="s">
        <v>777</v>
      </c>
      <c r="C550" s="8" t="s">
        <v>985</v>
      </c>
      <c r="D550" s="6" t="s">
        <v>986</v>
      </c>
      <c r="E550" s="3"/>
      <c r="F550" s="3" t="str">
        <f>IFERROR(__xludf.DUMMYFUNCTION("SWITCH(
  TRUE,
  REGEXMATCH(B550,""Brain Academy""),""BAC"",
  REGEXMATCH(B550,""English Academy""),""EAC"",
  """"
)&amp;"" ""&amp;IFERROR(TRIM(INDEX(SPLIT(C550,""-""),2)),C550)"),"EAC The Icon")</f>
        <v>EAC The Icon</v>
      </c>
      <c r="G550" s="3" t="str">
        <f>IFERROR(__xludf.DUMMYFUNCTION("TRIM(INDEX(SPLIT(C550,""-""),1))"),"Tangerang Selatan")</f>
        <v>Tangerang Selatan</v>
      </c>
      <c r="H550" s="3" t="str">
        <f>IFERROR(__xludf.DUMMYFUNCTION("TRIM(INDEX(SPLIT(C550,""-""),2))"),"The Icon")</f>
        <v>The Icon</v>
      </c>
      <c r="I550" s="3" t="str">
        <f>IFERROR(__xludf.DUMMYFUNCTION("IFERROR(
TEXTJOIN(CHAR(10),TRUE,
UNIQUE(
FILTER(
'ALL Data Intertest 22 Jul 26'!F:F,
'ALL Data Intertest 22 Jul 26'!B:B=B550,
'ALL Data Intertest 22 Jul 26'!C:C=H550
)
)
),
"""")"),"")</f>
        <v/>
      </c>
      <c r="J550" s="7">
        <v>-6.3169887</v>
      </c>
      <c r="K550" s="7">
        <v>106.6500806</v>
      </c>
    </row>
    <row r="551">
      <c r="A551" s="3">
        <f t="shared" si="1"/>
        <v>550</v>
      </c>
      <c r="B551" s="4" t="s">
        <v>777</v>
      </c>
      <c r="C551" s="8" t="s">
        <v>987</v>
      </c>
      <c r="D551" s="6" t="s">
        <v>988</v>
      </c>
      <c r="E551" s="3"/>
      <c r="F551" s="3" t="str">
        <f>IFERROR(__xludf.DUMMYFUNCTION("SWITCH(
  TRUE,
  REGEXMATCH(B551,""Brain Academy""),""BAC"",
  REGEXMATCH(B551,""English Academy""),""EAC"",
  """"
)&amp;"" ""&amp;IFERROR(TRIM(INDEX(SPLIT(C551,""-""),2)),C551)"),"EAC Engku Putri")</f>
        <v>EAC Engku Putri</v>
      </c>
      <c r="G551" s="3" t="str">
        <f>IFERROR(__xludf.DUMMYFUNCTION("TRIM(INDEX(SPLIT(C551,""-""),1))"),"Tanjung Pinang")</f>
        <v>Tanjung Pinang</v>
      </c>
      <c r="H551" s="3" t="str">
        <f>IFERROR(__xludf.DUMMYFUNCTION("TRIM(INDEX(SPLIT(C551,""-""),2))"),"Engku Putri")</f>
        <v>Engku Putri</v>
      </c>
      <c r="I551" s="3" t="str">
        <f>IFERROR(__xludf.DUMMYFUNCTION("IFERROR(
TEXTJOIN(CHAR(10),TRUE,
UNIQUE(
FILTER(
'ALL Data Intertest 22 Jul 26'!F:F,
'ALL Data Intertest 22 Jul 26'!B:B=B551,
'ALL Data Intertest 22 Jul 26'!C:C=H551
)
)
),
"""")"),"")</f>
        <v/>
      </c>
      <c r="J551" s="7">
        <v>0.9076397</v>
      </c>
      <c r="K551" s="7">
        <v>104.4587249</v>
      </c>
    </row>
    <row r="552">
      <c r="A552" s="3">
        <f t="shared" si="1"/>
        <v>551</v>
      </c>
      <c r="B552" s="4" t="s">
        <v>777</v>
      </c>
      <c r="C552" s="8" t="s">
        <v>590</v>
      </c>
      <c r="D552" s="6" t="s">
        <v>989</v>
      </c>
      <c r="E552" s="3"/>
      <c r="F552" s="3" t="str">
        <f>IFERROR(__xludf.DUMMYFUNCTION("SWITCH(
  TRUE,
  REGEXMATCH(B552,""Brain Academy""),""BAC"",
  REGEXMATCH(B552,""English Academy""),""EAC"",
  """"
)&amp;"" ""&amp;IFERROR(TRIM(INDEX(SPLIT(C552,""-""),2)),C552)"),"EAC Jendral Sudirman")</f>
        <v>EAC Jendral Sudirman</v>
      </c>
      <c r="G552" s="3" t="str">
        <f>IFERROR(__xludf.DUMMYFUNCTION("TRIM(INDEX(SPLIT(C552,""-""),1))"),"Tarakan")</f>
        <v>Tarakan</v>
      </c>
      <c r="H552" s="3" t="str">
        <f>IFERROR(__xludf.DUMMYFUNCTION("TRIM(INDEX(SPLIT(C552,""-""),2))"),"Jendral Sudirman")</f>
        <v>Jendral Sudirman</v>
      </c>
      <c r="I552" s="3" t="str">
        <f>IFERROR(__xludf.DUMMYFUNCTION("IFERROR(
TEXTJOIN(CHAR(10),TRUE,
UNIQUE(
FILTER(
'ALL Data Intertest 22 Jul 26'!F:F,
'ALL Data Intertest 22 Jul 26'!B:B=B552,
'ALL Data Intertest 22 Jul 26'!C:C=H552
)
)
),
"""")"),"")</f>
        <v/>
      </c>
      <c r="J552" s="7">
        <v>3.3107102</v>
      </c>
      <c r="K552" s="7">
        <v>117.5957403</v>
      </c>
    </row>
    <row r="553">
      <c r="A553" s="3">
        <f t="shared" si="1"/>
        <v>552</v>
      </c>
      <c r="B553" s="4" t="s">
        <v>777</v>
      </c>
      <c r="C553" s="8" t="s">
        <v>54</v>
      </c>
      <c r="D553" s="6" t="s">
        <v>990</v>
      </c>
      <c r="E553" s="3"/>
      <c r="F553" s="3" t="str">
        <f>IFERROR(__xludf.DUMMYFUNCTION("SWITCH(
  TRUE,
  REGEXMATCH(B553,""Brain Academy""),""BAC"",
  REGEXMATCH(B553,""English Academy""),""EAC"",
  """"
)&amp;"" ""&amp;IFERROR(TRIM(INDEX(SPLIT(C553,""-""),2)),C553)"),"EAC Tentara Pelajar")</f>
        <v>EAC Tentara Pelajar</v>
      </c>
      <c r="G553" s="3" t="str">
        <f>IFERROR(__xludf.DUMMYFUNCTION("TRIM(INDEX(SPLIT(C553,""-""),1))"),"Tasikmalaya")</f>
        <v>Tasikmalaya</v>
      </c>
      <c r="H553" s="3" t="str">
        <f>IFERROR(__xludf.DUMMYFUNCTION("TRIM(INDEX(SPLIT(C553,""-""),2))"),"Tentara Pelajar")</f>
        <v>Tentara Pelajar</v>
      </c>
      <c r="I553" s="3" t="str">
        <f>IFERROR(__xludf.DUMMYFUNCTION("IFERROR(
TEXTJOIN(CHAR(10),TRUE,
UNIQUE(
FILTER(
'ALL Data Intertest 22 Jul 26'!F:F,
'ALL Data Intertest 22 Jul 26'!B:B=B553,
'ALL Data Intertest 22 Jul 26'!C:C=H553
)
)
),
"""")"),"")</f>
        <v/>
      </c>
      <c r="J553" s="7">
        <v>-7.3290694</v>
      </c>
      <c r="K553" s="7">
        <v>108.2229819</v>
      </c>
    </row>
    <row r="554">
      <c r="A554" s="3">
        <f t="shared" si="1"/>
        <v>553</v>
      </c>
      <c r="B554" s="4" t="s">
        <v>777</v>
      </c>
      <c r="C554" s="8" t="s">
        <v>473</v>
      </c>
      <c r="D554" s="6" t="s">
        <v>991</v>
      </c>
      <c r="E554" s="3"/>
      <c r="F554" s="3" t="str">
        <f>IFERROR(__xludf.DUMMYFUNCTION("SWITCH(
  TRUE,
  REGEXMATCH(B554,""Brain Academy""),""BAC"",
  REGEXMATCH(B554,""English Academy""),""EAC"",
  """"
)&amp;"" ""&amp;IFERROR(TRIM(INDEX(SPLIT(C554,""-""),2)),C554)"),"EAC Sudirman")</f>
        <v>EAC Sudirman</v>
      </c>
      <c r="G554" s="3" t="str">
        <f>IFERROR(__xludf.DUMMYFUNCTION("TRIM(INDEX(SPLIT(C554,""-""),1))"),"Tebing Tinggi")</f>
        <v>Tebing Tinggi</v>
      </c>
      <c r="H554" s="3" t="str">
        <f>IFERROR(__xludf.DUMMYFUNCTION("TRIM(INDEX(SPLIT(C554,""-""),2))"),"Sudirman")</f>
        <v>Sudirman</v>
      </c>
      <c r="I554" s="3" t="str">
        <f>IFERROR(__xludf.DUMMYFUNCTION("IFERROR(
TEXTJOIN(CHAR(10),TRUE,
UNIQUE(
FILTER(
'ALL Data Intertest 22 Jul 26'!F:F,
'ALL Data Intertest 22 Jul 26'!B:B=B554,
'ALL Data Intertest 22 Jul 26'!C:C=H554
)
)
),
"""")"),"")</f>
        <v/>
      </c>
      <c r="J554" s="7">
        <v>3.3358546</v>
      </c>
      <c r="K554" s="7">
        <v>99.1637793</v>
      </c>
    </row>
    <row r="555">
      <c r="A555" s="3">
        <f t="shared" si="1"/>
        <v>554</v>
      </c>
      <c r="B555" s="4" t="s">
        <v>777</v>
      </c>
      <c r="C555" s="8" t="s">
        <v>319</v>
      </c>
      <c r="D555" s="6" t="s">
        <v>992</v>
      </c>
      <c r="E555" s="3"/>
      <c r="F555" s="3" t="str">
        <f>IFERROR(__xludf.DUMMYFUNCTION("SWITCH(
  TRUE,
  REGEXMATCH(B555,""Brain Academy""),""BAC"",
  REGEXMATCH(B555,""English Academy""),""EAC"",
  """"
)&amp;"" ""&amp;IFERROR(TRIM(INDEX(SPLIT(C555,""-""),2)),C555)"),"EAC Cokroaminoto")</f>
        <v>EAC Cokroaminoto</v>
      </c>
      <c r="G555" s="3" t="str">
        <f>IFERROR(__xludf.DUMMYFUNCTION("TRIM(INDEX(SPLIT(C555,""-""),1))"),"Tegal")</f>
        <v>Tegal</v>
      </c>
      <c r="H555" s="3" t="str">
        <f>IFERROR(__xludf.DUMMYFUNCTION("TRIM(INDEX(SPLIT(C555,""-""),2))"),"Cokroaminoto")</f>
        <v>Cokroaminoto</v>
      </c>
      <c r="I555" s="3" t="str">
        <f>IFERROR(__xludf.DUMMYFUNCTION("IFERROR(
TEXTJOIN(CHAR(10),TRUE,
UNIQUE(
FILTER(
'ALL Data Intertest 22 Jul 26'!F:F,
'ALL Data Intertest 22 Jul 26'!B:B=B555,
'ALL Data Intertest 22 Jul 26'!C:C=H555
)
)
),
"""")"),"")</f>
        <v/>
      </c>
      <c r="J555" s="7">
        <v>-6.8727734</v>
      </c>
      <c r="K555" s="7">
        <v>109.1455978</v>
      </c>
    </row>
    <row r="556">
      <c r="A556" s="3">
        <f t="shared" si="1"/>
        <v>555</v>
      </c>
      <c r="B556" s="4" t="s">
        <v>777</v>
      </c>
      <c r="C556" s="8" t="s">
        <v>570</v>
      </c>
      <c r="D556" s="6" t="s">
        <v>993</v>
      </c>
      <c r="E556" s="3"/>
      <c r="F556" s="3" t="str">
        <f>IFERROR(__xludf.DUMMYFUNCTION("SWITCH(
  TRUE,
  REGEXMATCH(B556,""Brain Academy""),""BAC"",
  REGEXMATCH(B556,""English Academy""),""EAC"",
  """"
)&amp;"" ""&amp;IFERROR(TRIM(INDEX(SPLIT(C556,""-""),2)),C556)"),"EAC Tentara Pelajar")</f>
        <v>EAC Tentara Pelajar</v>
      </c>
      <c r="G556" s="3" t="str">
        <f>IFERROR(__xludf.DUMMYFUNCTION("TRIM(INDEX(SPLIT(C556,""-""),1))"),"Temanggung")</f>
        <v>Temanggung</v>
      </c>
      <c r="H556" s="3" t="str">
        <f>IFERROR(__xludf.DUMMYFUNCTION("TRIM(INDEX(SPLIT(C556,""-""),2))"),"Tentara Pelajar")</f>
        <v>Tentara Pelajar</v>
      </c>
      <c r="I556" s="3" t="str">
        <f>IFERROR(__xludf.DUMMYFUNCTION("IFERROR(
TEXTJOIN(CHAR(10),TRUE,
UNIQUE(
FILTER(
'ALL Data Intertest 22 Jul 26'!F:F,
'ALL Data Intertest 22 Jul 26'!B:B=B556,
'ALL Data Intertest 22 Jul 26'!C:C=H556
)
)
),
"""")"),"")</f>
        <v/>
      </c>
      <c r="J556" s="7">
        <v>-7.3152751</v>
      </c>
      <c r="K556" s="7">
        <v>110.1791162</v>
      </c>
    </row>
    <row r="557">
      <c r="A557" s="3">
        <f t="shared" si="1"/>
        <v>556</v>
      </c>
      <c r="B557" s="4" t="s">
        <v>777</v>
      </c>
      <c r="C557" s="8" t="s">
        <v>614</v>
      </c>
      <c r="D557" s="6" t="s">
        <v>994</v>
      </c>
      <c r="E557" s="3"/>
      <c r="F557" s="3" t="str">
        <f>IFERROR(__xludf.DUMMYFUNCTION("SWITCH(
  TRUE,
  REGEXMATCH(B557,""Brain Academy""),""BAC"",
  REGEXMATCH(B557,""English Academy""),""EAC"",
  """"
)&amp;"" ""&amp;IFERROR(TRIM(INDEX(SPLIT(C557,""-""),2)),C557)"),"EAC Takoma")</f>
        <v>EAC Takoma</v>
      </c>
      <c r="G557" s="3" t="str">
        <f>IFERROR(__xludf.DUMMYFUNCTION("TRIM(INDEX(SPLIT(C557,""-""),1))"),"Ternate")</f>
        <v>Ternate</v>
      </c>
      <c r="H557" s="3" t="str">
        <f>IFERROR(__xludf.DUMMYFUNCTION("TRIM(INDEX(SPLIT(C557,""-""),2))"),"Takoma")</f>
        <v>Takoma</v>
      </c>
      <c r="I557" s="3" t="str">
        <f>IFERROR(__xludf.DUMMYFUNCTION("IFERROR(
TEXTJOIN(CHAR(10),TRUE,
UNIQUE(
FILTER(
'ALL Data Intertest 22 Jul 26'!F:F,
'ALL Data Intertest 22 Jul 26'!B:B=B557,
'ALL Data Intertest 22 Jul 26'!C:C=H557
)
)
),
"""")"),"")</f>
        <v/>
      </c>
      <c r="J557" s="7">
        <v>0.7880667</v>
      </c>
      <c r="K557" s="7">
        <v>127.385157</v>
      </c>
    </row>
    <row r="558">
      <c r="A558" s="3">
        <f t="shared" si="1"/>
        <v>557</v>
      </c>
      <c r="B558" s="4" t="s">
        <v>777</v>
      </c>
      <c r="C558" s="8" t="s">
        <v>636</v>
      </c>
      <c r="D558" s="6" t="s">
        <v>995</v>
      </c>
      <c r="E558" s="3"/>
      <c r="F558" s="3" t="str">
        <f>IFERROR(__xludf.DUMMYFUNCTION("SWITCH(
  TRUE,
  REGEXMATCH(B558,""Brain Academy""),""BAC"",
  REGEXMATCH(B558,""English Academy""),""EAC"",
  """"
)&amp;"" ""&amp;IFERROR(TRIM(INDEX(SPLIT(C558,""-""),2)),C558)"),"EAC KH. Wahid Hasyim")</f>
        <v>EAC KH. Wahid Hasyim</v>
      </c>
      <c r="G558" s="3" t="str">
        <f>IFERROR(__xludf.DUMMYFUNCTION("TRIM(INDEX(SPLIT(C558,""-""),1))"),"Toli Toli")</f>
        <v>Toli Toli</v>
      </c>
      <c r="H558" s="3" t="str">
        <f>IFERROR(__xludf.DUMMYFUNCTION("TRIM(INDEX(SPLIT(C558,""-""),2))"),"KH. Wahid Hasyim")</f>
        <v>KH. Wahid Hasyim</v>
      </c>
      <c r="I558" s="3" t="str">
        <f>IFERROR(__xludf.DUMMYFUNCTION("IFERROR(
TEXTJOIN(CHAR(10),TRUE,
UNIQUE(
FILTER(
'ALL Data Intertest 22 Jul 26'!F:F,
'ALL Data Intertest 22 Jul 26'!B:B=B558,
'ALL Data Intertest 22 Jul 26'!C:C=H558
)
)
),
"""")"),"")</f>
        <v/>
      </c>
      <c r="J558" s="7">
        <v>1.0315529</v>
      </c>
      <c r="K558" s="7">
        <v>120.8141843</v>
      </c>
    </row>
    <row r="559">
      <c r="A559" s="3">
        <f t="shared" si="1"/>
        <v>558</v>
      </c>
      <c r="B559" s="4" t="s">
        <v>777</v>
      </c>
      <c r="C559" s="8" t="s">
        <v>608</v>
      </c>
      <c r="D559" s="6" t="s">
        <v>996</v>
      </c>
      <c r="E559" s="3"/>
      <c r="F559" s="3" t="str">
        <f>IFERROR(__xludf.DUMMYFUNCTION("SWITCH(
  TRUE,
  REGEXMATCH(B559,""Brain Academy""),""BAC"",
  REGEXMATCH(B559,""English Academy""),""EAC"",
  """"
)&amp;"" ""&amp;IFERROR(TRIM(INDEX(SPLIT(C559,""-""),2)),C559)"),"EAC Matani")</f>
        <v>EAC Matani</v>
      </c>
      <c r="G559" s="3" t="str">
        <f>IFERROR(__xludf.DUMMYFUNCTION("TRIM(INDEX(SPLIT(C559,""-""),1))"),"Tomohon")</f>
        <v>Tomohon</v>
      </c>
      <c r="H559" s="3" t="str">
        <f>IFERROR(__xludf.DUMMYFUNCTION("TRIM(INDEX(SPLIT(C559,""-""),2))"),"Matani")</f>
        <v>Matani</v>
      </c>
      <c r="I559" s="3" t="str">
        <f>IFERROR(__xludf.DUMMYFUNCTION("IFERROR(
TEXTJOIN(CHAR(10),TRUE,
UNIQUE(
FILTER(
'ALL Data Intertest 22 Jul 26'!F:F,
'ALL Data Intertest 22 Jul 26'!B:B=B559,
'ALL Data Intertest 22 Jul 26'!C:C=H559
)
)
),
"""")"),"")</f>
        <v/>
      </c>
      <c r="J559" s="7">
        <v>1.3174897</v>
      </c>
      <c r="K559" s="7">
        <v>124.8380735</v>
      </c>
    </row>
    <row r="560">
      <c r="A560" s="3">
        <f t="shared" si="1"/>
        <v>559</v>
      </c>
      <c r="B560" s="4" t="s">
        <v>777</v>
      </c>
      <c r="C560" s="8" t="s">
        <v>199</v>
      </c>
      <c r="D560" s="6" t="s">
        <v>997</v>
      </c>
      <c r="E560" s="3"/>
      <c r="F560" s="3" t="str">
        <f>IFERROR(__xludf.DUMMYFUNCTION("SWITCH(
  TRUE,
  REGEXMATCH(B560,""Brain Academy""),""BAC"",
  REGEXMATCH(B560,""English Academy""),""EAC"",
  """"
)&amp;"" ""&amp;IFERROR(TRIM(INDEX(SPLIT(C560,""-""),2)),C560)"),"EAC Poros Bolu")</f>
        <v>EAC Poros Bolu</v>
      </c>
      <c r="G560" s="3" t="str">
        <f>IFERROR(__xludf.DUMMYFUNCTION("TRIM(INDEX(SPLIT(C560,""-""),1))"),"Toraja Utara")</f>
        <v>Toraja Utara</v>
      </c>
      <c r="H560" s="3" t="str">
        <f>IFERROR(__xludf.DUMMYFUNCTION("TRIM(INDEX(SPLIT(C560,""-""),2))"),"Poros Bolu")</f>
        <v>Poros Bolu</v>
      </c>
      <c r="I560" s="3" t="str">
        <f>IFERROR(__xludf.DUMMYFUNCTION("IFERROR(
TEXTJOIN(CHAR(10),TRUE,
UNIQUE(
FILTER(
'ALL Data Intertest 22 Jul 26'!F:F,
'ALL Data Intertest 22 Jul 26'!B:B=B560,
'ALL Data Intertest 22 Jul 26'!C:C=H560
)
)
),
"""")"),"")</f>
        <v/>
      </c>
      <c r="J560" s="7">
        <v>-2.9603439</v>
      </c>
      <c r="K560" s="7">
        <v>119.9150161</v>
      </c>
    </row>
    <row r="561">
      <c r="A561" s="3">
        <f t="shared" si="1"/>
        <v>560</v>
      </c>
      <c r="B561" s="4" t="s">
        <v>777</v>
      </c>
      <c r="C561" s="8" t="s">
        <v>998</v>
      </c>
      <c r="D561" s="6" t="s">
        <v>999</v>
      </c>
      <c r="E561" s="3"/>
      <c r="F561" s="3" t="str">
        <f>IFERROR(__xludf.DUMMYFUNCTION("SWITCH(
  TRUE,
  REGEXMATCH(B561,""Brain Academy""),""BAC"",
  REGEXMATCH(B561,""English Academy""),""EAC"",
  """"
)&amp;"" ""&amp;IFERROR(TRIM(INDEX(SPLIT(C561,""-""),2)),C561)"),"EAC Menak Sopal")</f>
        <v>EAC Menak Sopal</v>
      </c>
      <c r="G561" s="3" t="str">
        <f>IFERROR(__xludf.DUMMYFUNCTION("TRIM(INDEX(SPLIT(C561,""-""),1))"),"Trenggalek")</f>
        <v>Trenggalek</v>
      </c>
      <c r="H561" s="3" t="str">
        <f>IFERROR(__xludf.DUMMYFUNCTION("TRIM(INDEX(SPLIT(C561,""-""),2))"),"Menak Sopal")</f>
        <v>Menak Sopal</v>
      </c>
      <c r="I561" s="3" t="str">
        <f>IFERROR(__xludf.DUMMYFUNCTION("IFERROR(
TEXTJOIN(CHAR(10),TRUE,
UNIQUE(
FILTER(
'ALL Data Intertest 22 Jul 26'!F:F,
'ALL Data Intertest 22 Jul 26'!B:B=B561,
'ALL Data Intertest 22 Jul 26'!C:C=H561
)
)
),
"""")"),"")</f>
        <v/>
      </c>
      <c r="J561" s="7">
        <v>-8.06048</v>
      </c>
      <c r="K561" s="7">
        <v>111.7074789</v>
      </c>
    </row>
    <row r="562">
      <c r="A562" s="3">
        <f t="shared" si="1"/>
        <v>561</v>
      </c>
      <c r="B562" s="4" t="s">
        <v>777</v>
      </c>
      <c r="C562" s="8" t="s">
        <v>336</v>
      </c>
      <c r="D562" s="6" t="s">
        <v>337</v>
      </c>
      <c r="E562" s="3"/>
      <c r="F562" s="3" t="str">
        <f>IFERROR(__xludf.DUMMYFUNCTION("SWITCH(
  TRUE,
  REGEXMATCH(B562,""Brain Academy""),""BAC"",
  REGEXMATCH(B562,""English Academy""),""EAC"",
  """"
)&amp;"" ""&amp;IFERROR(TRIM(INDEX(SPLIT(C562,""-""),2)),C562)"),"EAC Gajahmungkur")</f>
        <v>EAC Gajahmungkur</v>
      </c>
      <c r="G562" s="3" t="str">
        <f>IFERROR(__xludf.DUMMYFUNCTION("TRIM(INDEX(SPLIT(C562,""-""),1))"),"Wonogiri")</f>
        <v>Wonogiri</v>
      </c>
      <c r="H562" s="3" t="str">
        <f>IFERROR(__xludf.DUMMYFUNCTION("TRIM(INDEX(SPLIT(C562,""-""),2))"),"Gajahmungkur")</f>
        <v>Gajahmungkur</v>
      </c>
      <c r="I562" s="3" t="str">
        <f>IFERROR(__xludf.DUMMYFUNCTION("IFERROR(
TEXTJOIN(CHAR(10),TRUE,
UNIQUE(
FILTER(
'ALL Data Intertest 22 Jul 26'!F:F,
'ALL Data Intertest 22 Jul 26'!B:B=B562,
'ALL Data Intertest 22 Jul 26'!C:C=H562
)
)
),
"""")"),"")</f>
        <v/>
      </c>
      <c r="J562" s="7">
        <v>-7.8168436</v>
      </c>
      <c r="K562" s="7">
        <v>110.9259484</v>
      </c>
    </row>
    <row r="563">
      <c r="A563" s="3">
        <f t="shared" si="1"/>
        <v>562</v>
      </c>
      <c r="B563" s="4" t="s">
        <v>777</v>
      </c>
      <c r="C563" s="8" t="s">
        <v>316</v>
      </c>
      <c r="D563" s="6" t="s">
        <v>1000</v>
      </c>
      <c r="E563" s="3"/>
      <c r="F563" s="3" t="str">
        <f>IFERROR(__xludf.DUMMYFUNCTION("SWITCH(
  TRUE,
  REGEXMATCH(B563,""Brain Academy""),""BAC"",
  REGEXMATCH(B563,""English Academy""),""EAC"",
  """"
)&amp;"" ""&amp;IFERROR(TRIM(INDEX(SPLIT(C563,""-""),2)),C563)"),"EAC Sagan")</f>
        <v>EAC Sagan</v>
      </c>
      <c r="G563" s="3" t="str">
        <f>IFERROR(__xludf.DUMMYFUNCTION("TRIM(INDEX(SPLIT(C563,""-""),1))"),"Yogyakarta")</f>
        <v>Yogyakarta</v>
      </c>
      <c r="H563" s="3" t="str">
        <f>IFERROR(__xludf.DUMMYFUNCTION("TRIM(INDEX(SPLIT(C563,""-""),2))"),"Sagan")</f>
        <v>Sagan</v>
      </c>
      <c r="I563" s="3" t="str">
        <f>IFERROR(__xludf.DUMMYFUNCTION("IFERROR(
TEXTJOIN(CHAR(10),TRUE,
UNIQUE(
FILTER(
'ALL Data Intertest 22 Jul 26'!F:F,
'ALL Data Intertest 22 Jul 26'!B:B=B563,
'ALL Data Intertest 22 Jul 26'!C:C=H563
)
)
),
"""")"),"")</f>
        <v/>
      </c>
      <c r="J563" s="7">
        <v>-7.7814586</v>
      </c>
      <c r="K563" s="7">
        <v>110.3791722</v>
      </c>
    </row>
    <row r="564">
      <c r="A564" s="3">
        <f t="shared" si="1"/>
        <v>563</v>
      </c>
      <c r="B564" s="4" t="s">
        <v>777</v>
      </c>
      <c r="C564" s="8" t="s">
        <v>1001</v>
      </c>
      <c r="D564" s="6" t="s">
        <v>1002</v>
      </c>
      <c r="E564" s="3"/>
      <c r="F564" s="3" t="str">
        <f>IFERROR(__xludf.DUMMYFUNCTION("SWITCH(
  TRUE,
  REGEXMATCH(B564,""Brain Academy""),""BAC"",
  REGEXMATCH(B564,""English Academy""),""EAC"",
  """"
)&amp;"" ""&amp;IFERROR(TRIM(INDEX(SPLIT(C564,""-""),2)),C564)"),"EAC Terban")</f>
        <v>EAC Terban</v>
      </c>
      <c r="G564" s="3" t="str">
        <f>IFERROR(__xludf.DUMMYFUNCTION("TRIM(INDEX(SPLIT(C564,""-""),1))"),"Yogyakarta")</f>
        <v>Yogyakarta</v>
      </c>
      <c r="H564" s="3" t="str">
        <f>IFERROR(__xludf.DUMMYFUNCTION("TRIM(INDEX(SPLIT(C564,""-""),2))"),"Terban")</f>
        <v>Terban</v>
      </c>
      <c r="I564" s="3" t="str">
        <f>IFERROR(__xludf.DUMMYFUNCTION("IFERROR(
TEXTJOIN(CHAR(10),TRUE,
UNIQUE(
FILTER(
'ALL Data Intertest 22 Jul 26'!F:F,
'ALL Data Intertest 22 Jul 26'!B:B=B564,
'ALL Data Intertest 22 Jul 26'!C:C=H564
)
)
),
"""")"),"")</f>
        <v/>
      </c>
      <c r="J564" s="7">
        <v>-7.780444900000001</v>
      </c>
      <c r="K564" s="7">
        <v>110.3730288</v>
      </c>
    </row>
    <row r="565">
      <c r="A565" s="3">
        <f t="shared" si="1"/>
        <v>564</v>
      </c>
      <c r="B565" s="4" t="s">
        <v>777</v>
      </c>
      <c r="C565" s="8" t="s">
        <v>128</v>
      </c>
      <c r="D565" s="6" t="s">
        <v>1003</v>
      </c>
      <c r="E565" s="3"/>
      <c r="F565" s="3" t="str">
        <f>IFERROR(__xludf.DUMMYFUNCTION("SWITCH(
  TRUE,
  REGEXMATCH(B565,""Brain Academy""),""BAC"",
  REGEXMATCH(B565,""English Academy""),""EAC"",
  """"
)&amp;"" ""&amp;IFERROR(TRIM(INDEX(SPLIT(C565,""-""),2)),C565)"),"EAC Wirobrajan")</f>
        <v>EAC Wirobrajan</v>
      </c>
      <c r="G565" s="3" t="str">
        <f>IFERROR(__xludf.DUMMYFUNCTION("TRIM(INDEX(SPLIT(C565,""-""),1))"),"Yogyakarta")</f>
        <v>Yogyakarta</v>
      </c>
      <c r="H565" s="3" t="str">
        <f>IFERROR(__xludf.DUMMYFUNCTION("TRIM(INDEX(SPLIT(C565,""-""),2))"),"Wirobrajan")</f>
        <v>Wirobrajan</v>
      </c>
      <c r="I565" s="3" t="str">
        <f>IFERROR(__xludf.DUMMYFUNCTION("IFERROR(
TEXTJOIN(CHAR(10),TRUE,
UNIQUE(
FILTER(
'ALL Data Intertest 22 Jul 26'!F:F,
'ALL Data Intertest 22 Jul 26'!B:B=B565,
'ALL Data Intertest 22 Jul 26'!C:C=H565
)
)
),
"""")"),"")</f>
        <v/>
      </c>
      <c r="J565" s="7">
        <v>-7.796554899999999</v>
      </c>
      <c r="K565" s="7">
        <v>110.3525873</v>
      </c>
    </row>
  </sheetData>
  <dataValidations>
    <dataValidation type="list" allowBlank="1" showErrorMessage="1" sqref="B2:B565">
      <formula1>"Brain Academy,English Academy"</formula1>
    </dataValidation>
  </dataValidations>
  <drawing r:id="rId1"/>
</worksheet>
</file>